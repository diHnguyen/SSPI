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uyen/Desktop/Local Documents/GitHub/Paper5/"/>
    </mc:Choice>
  </mc:AlternateContent>
  <xr:revisionPtr revIDLastSave="0" documentId="13_ncr:1_{70E12100-D1FB-774C-9CED-EBA572F0DAB7}" xr6:coauthVersionLast="47" xr6:coauthVersionMax="47" xr10:uidLastSave="{00000000-0000-0000-0000-000000000000}"/>
  <bookViews>
    <workbookView xWindow="17540" yWindow="760" windowWidth="12700" windowHeight="17340" xr2:uid="{F8F50E29-6092-1842-BA74-444EDD3FCA50}"/>
  </bookViews>
  <sheets>
    <sheet name="Stra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15" i="1"/>
  <c r="N14" i="1"/>
  <c r="N13" i="1"/>
  <c r="N12" i="1"/>
  <c r="N11" i="1"/>
  <c r="N10" i="1"/>
  <c r="N9" i="1"/>
  <c r="N8" i="1"/>
  <c r="N7" i="1"/>
  <c r="K21" i="1"/>
  <c r="K22" i="1"/>
  <c r="K23" i="1"/>
  <c r="K24" i="1"/>
  <c r="K25" i="1"/>
  <c r="K26" i="1"/>
  <c r="K27" i="1"/>
  <c r="K28" i="1"/>
  <c r="K29" i="1"/>
  <c r="K20" i="1"/>
</calcChain>
</file>

<file path=xl/sharedStrings.xml><?xml version="1.0" encoding="utf-8"?>
<sst xmlns="http://schemas.openxmlformats.org/spreadsheetml/2006/main" count="81" uniqueCount="13">
  <si>
    <t>x verify results</t>
  </si>
  <si>
    <t>Ins</t>
  </si>
  <si>
    <t>x-same?</t>
  </si>
  <si>
    <t>N30</t>
  </si>
  <si>
    <t>N40</t>
  </si>
  <si>
    <t>N50</t>
  </si>
  <si>
    <t>ObjDefault</t>
  </si>
  <si>
    <t>ObjStrat4</t>
  </si>
  <si>
    <t>y</t>
  </si>
  <si>
    <t>NA</t>
  </si>
  <si>
    <t>Gap</t>
  </si>
  <si>
    <t>&lt;5min</t>
  </si>
  <si>
    <t>5-60min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</si>
</sst>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3351-652D-4B49-9B7C-1DEFF2BA4292}">
  <dimension ref="A1:N29"/>
  <sheetViews>
    <sheetView tabSelected="1" topLeftCell="A2" zoomScale="150" workbookViewId="0">
      <selection activeCell="M18" sqref="M18"/>
    </sheetView>
  </sheetViews>
  <sheetFormatPr baseColWidth="10" defaultRowHeight="16" x14ac:dyDescent="0.2"/>
  <sheetData>
    <row r="1" spans="1:14" x14ac:dyDescent="0.2">
      <c r="A1" t="s">
        <v>0</v>
      </c>
      <c r="E1">
        <v>2</v>
      </c>
      <c r="F1">
        <v>6</v>
      </c>
      <c r="G1">
        <v>7</v>
      </c>
      <c r="H1">
        <v>10</v>
      </c>
      <c r="I1">
        <v>13</v>
      </c>
      <c r="J1">
        <v>14</v>
      </c>
      <c r="K1">
        <v>15</v>
      </c>
      <c r="L1">
        <v>16</v>
      </c>
      <c r="M1">
        <v>17</v>
      </c>
      <c r="N1">
        <v>21</v>
      </c>
    </row>
    <row r="3" spans="1:14" x14ac:dyDescent="0.2">
      <c r="A3" t="s">
        <v>11</v>
      </c>
    </row>
    <row r="4" spans="1:14" x14ac:dyDescent="0.2">
      <c r="A4" t="s">
        <v>3</v>
      </c>
      <c r="D4" t="s">
        <v>4</v>
      </c>
      <c r="J4" t="s">
        <v>5</v>
      </c>
    </row>
    <row r="5" spans="1:14" x14ac:dyDescent="0.2">
      <c r="A5" t="s">
        <v>1</v>
      </c>
      <c r="B5" t="s">
        <v>2</v>
      </c>
      <c r="D5" t="s">
        <v>1</v>
      </c>
      <c r="E5" t="s">
        <v>2</v>
      </c>
      <c r="F5" t="s">
        <v>6</v>
      </c>
      <c r="G5" t="s">
        <v>7</v>
      </c>
      <c r="H5" t="s">
        <v>10</v>
      </c>
      <c r="J5" t="s">
        <v>1</v>
      </c>
      <c r="K5" t="s">
        <v>2</v>
      </c>
      <c r="L5" t="s">
        <v>6</v>
      </c>
      <c r="M5" t="s">
        <v>7</v>
      </c>
      <c r="N5" t="s">
        <v>10</v>
      </c>
    </row>
    <row r="6" spans="1:14" ht="18" x14ac:dyDescent="0.25">
      <c r="A6">
        <v>1</v>
      </c>
      <c r="B6" t="s">
        <v>8</v>
      </c>
      <c r="D6">
        <v>1</v>
      </c>
      <c r="E6" t="s">
        <v>8</v>
      </c>
      <c r="J6">
        <v>2</v>
      </c>
      <c r="K6" t="s">
        <v>8</v>
      </c>
      <c r="L6" s="1"/>
      <c r="M6" s="1"/>
      <c r="N6" s="2">
        <f>IFERROR(IF(K6="y", 0,(L6-M6)/L6),"")</f>
        <v>0</v>
      </c>
    </row>
    <row r="7" spans="1:14" ht="18" x14ac:dyDescent="0.25">
      <c r="A7">
        <v>2</v>
      </c>
      <c r="B7" t="s">
        <v>8</v>
      </c>
      <c r="D7">
        <v>3</v>
      </c>
      <c r="E7" t="s">
        <v>8</v>
      </c>
      <c r="J7">
        <v>6</v>
      </c>
      <c r="K7" t="s">
        <v>8</v>
      </c>
      <c r="L7" s="1"/>
      <c r="M7" s="1"/>
      <c r="N7" s="2">
        <f t="shared" ref="N7:N15" si="0">IFERROR(IF(K7="y", 0,(L7-M7)/L7),"")</f>
        <v>0</v>
      </c>
    </row>
    <row r="8" spans="1:14" x14ac:dyDescent="0.2">
      <c r="A8">
        <v>5</v>
      </c>
      <c r="B8" t="s">
        <v>8</v>
      </c>
      <c r="D8">
        <v>5</v>
      </c>
      <c r="F8">
        <v>205</v>
      </c>
      <c r="G8">
        <v>205</v>
      </c>
      <c r="J8">
        <v>7</v>
      </c>
      <c r="K8" t="s">
        <v>8</v>
      </c>
      <c r="N8" s="2">
        <f t="shared" si="0"/>
        <v>0</v>
      </c>
    </row>
    <row r="9" spans="1:14" x14ac:dyDescent="0.2">
      <c r="A9">
        <v>6</v>
      </c>
      <c r="B9" t="s">
        <v>8</v>
      </c>
      <c r="D9">
        <v>6</v>
      </c>
      <c r="E9" t="s">
        <v>8</v>
      </c>
      <c r="J9">
        <v>10</v>
      </c>
      <c r="L9">
        <v>323</v>
      </c>
      <c r="M9">
        <v>323</v>
      </c>
      <c r="N9" s="2" t="str">
        <f>IFERROR(IF(K9="y", 0,(#REF!-#REF!)/#REF!),"")</f>
        <v/>
      </c>
    </row>
    <row r="10" spans="1:14" x14ac:dyDescent="0.2">
      <c r="A10">
        <v>7</v>
      </c>
      <c r="B10" t="s">
        <v>8</v>
      </c>
      <c r="D10">
        <v>7</v>
      </c>
      <c r="E10" t="s">
        <v>8</v>
      </c>
      <c r="J10">
        <v>13</v>
      </c>
      <c r="K10" t="s">
        <v>8</v>
      </c>
      <c r="N10" s="2">
        <f>IFERROR(IF(K10="y", 0,(L9-M9)/L9),"")</f>
        <v>0</v>
      </c>
    </row>
    <row r="11" spans="1:14" x14ac:dyDescent="0.2">
      <c r="A11">
        <v>8</v>
      </c>
      <c r="B11" t="s">
        <v>8</v>
      </c>
      <c r="D11">
        <v>9</v>
      </c>
      <c r="E11" t="s">
        <v>8</v>
      </c>
      <c r="J11">
        <v>14</v>
      </c>
      <c r="K11" t="s">
        <v>8</v>
      </c>
      <c r="N11" s="2">
        <f t="shared" si="0"/>
        <v>0</v>
      </c>
    </row>
    <row r="12" spans="1:14" ht="18" x14ac:dyDescent="0.25">
      <c r="A12">
        <v>9</v>
      </c>
      <c r="B12" t="s">
        <v>8</v>
      </c>
      <c r="D12">
        <v>10</v>
      </c>
      <c r="E12" t="s">
        <v>8</v>
      </c>
      <c r="J12">
        <v>15</v>
      </c>
      <c r="L12" s="1">
        <v>212.830274132547</v>
      </c>
      <c r="M12" s="1">
        <v>212.830274132547</v>
      </c>
      <c r="N12" s="2">
        <f t="shared" si="0"/>
        <v>0</v>
      </c>
    </row>
    <row r="13" spans="1:14" x14ac:dyDescent="0.2">
      <c r="A13">
        <v>10</v>
      </c>
      <c r="B13" t="s">
        <v>8</v>
      </c>
      <c r="D13">
        <v>11</v>
      </c>
      <c r="E13" t="s">
        <v>8</v>
      </c>
      <c r="J13">
        <v>16</v>
      </c>
      <c r="L13">
        <v>153</v>
      </c>
      <c r="M13">
        <v>153</v>
      </c>
      <c r="N13" s="2">
        <f t="shared" si="0"/>
        <v>0</v>
      </c>
    </row>
    <row r="14" spans="1:14" x14ac:dyDescent="0.2">
      <c r="A14">
        <v>11</v>
      </c>
      <c r="B14" t="s">
        <v>8</v>
      </c>
      <c r="D14">
        <v>12</v>
      </c>
      <c r="E14" t="s">
        <v>8</v>
      </c>
      <c r="J14">
        <v>17</v>
      </c>
      <c r="K14" t="s">
        <v>8</v>
      </c>
      <c r="N14" s="2">
        <f t="shared" si="0"/>
        <v>0</v>
      </c>
    </row>
    <row r="15" spans="1:14" x14ac:dyDescent="0.2">
      <c r="A15">
        <v>12</v>
      </c>
      <c r="B15" t="s">
        <v>8</v>
      </c>
      <c r="D15">
        <v>13</v>
      </c>
      <c r="E15" t="s">
        <v>8</v>
      </c>
      <c r="J15">
        <v>21</v>
      </c>
      <c r="L15">
        <v>88</v>
      </c>
      <c r="M15">
        <v>88</v>
      </c>
      <c r="N15" s="2">
        <f t="shared" si="0"/>
        <v>0</v>
      </c>
    </row>
    <row r="17" spans="1:11" x14ac:dyDescent="0.2">
      <c r="A17" t="s">
        <v>12</v>
      </c>
    </row>
    <row r="18" spans="1:11" x14ac:dyDescent="0.2">
      <c r="A18" t="s">
        <v>3</v>
      </c>
      <c r="D18" t="s">
        <v>4</v>
      </c>
      <c r="G18" t="s">
        <v>5</v>
      </c>
    </row>
    <row r="19" spans="1:11" x14ac:dyDescent="0.2">
      <c r="A19" t="s">
        <v>1</v>
      </c>
      <c r="B19" t="s">
        <v>2</v>
      </c>
      <c r="D19" t="s">
        <v>1</v>
      </c>
      <c r="E19" t="s">
        <v>2</v>
      </c>
      <c r="G19" t="s">
        <v>1</v>
      </c>
      <c r="H19" t="s">
        <v>2</v>
      </c>
      <c r="I19" t="s">
        <v>6</v>
      </c>
      <c r="J19" t="s">
        <v>7</v>
      </c>
      <c r="K19" t="s">
        <v>10</v>
      </c>
    </row>
    <row r="20" spans="1:11" ht="18" x14ac:dyDescent="0.25">
      <c r="A20">
        <v>4</v>
      </c>
      <c r="B20" t="s">
        <v>8</v>
      </c>
      <c r="D20">
        <v>4</v>
      </c>
      <c r="E20" t="s">
        <v>8</v>
      </c>
      <c r="G20">
        <v>18</v>
      </c>
      <c r="I20" s="1">
        <v>276.56009578253799</v>
      </c>
      <c r="J20" s="1">
        <v>276.56009578253799</v>
      </c>
      <c r="K20" s="2">
        <f>IFERROR(IF(H20="y", 0,(I20-J20)/I20),"")</f>
        <v>0</v>
      </c>
    </row>
    <row r="21" spans="1:11" ht="18" x14ac:dyDescent="0.25">
      <c r="A21">
        <v>20</v>
      </c>
      <c r="B21" t="s">
        <v>8</v>
      </c>
      <c r="D21">
        <v>8</v>
      </c>
      <c r="E21" t="s">
        <v>9</v>
      </c>
      <c r="G21">
        <v>26</v>
      </c>
      <c r="I21" s="1">
        <v>278.89317306132199</v>
      </c>
      <c r="J21" s="1">
        <v>278.92660399664697</v>
      </c>
      <c r="K21" s="2">
        <f t="shared" ref="K21:K29" si="1">IFERROR(IF(H21="y", 0,(I21-J21)/I21),"")</f>
        <v>-1.1987003825882734E-4</v>
      </c>
    </row>
    <row r="22" spans="1:11" x14ac:dyDescent="0.2">
      <c r="A22">
        <v>83</v>
      </c>
      <c r="B22" t="s">
        <v>8</v>
      </c>
      <c r="D22">
        <v>16</v>
      </c>
      <c r="E22" t="s">
        <v>8</v>
      </c>
      <c r="G22">
        <v>30</v>
      </c>
      <c r="H22" t="s">
        <v>8</v>
      </c>
      <c r="K22" s="2">
        <f t="shared" si="1"/>
        <v>0</v>
      </c>
    </row>
    <row r="23" spans="1:11" x14ac:dyDescent="0.2">
      <c r="A23">
        <v>89</v>
      </c>
      <c r="B23" t="s">
        <v>8</v>
      </c>
      <c r="D23">
        <v>20</v>
      </c>
      <c r="E23" t="s">
        <v>8</v>
      </c>
      <c r="G23">
        <v>46</v>
      </c>
      <c r="H23" t="s">
        <v>8</v>
      </c>
      <c r="K23" s="2">
        <f t="shared" si="1"/>
        <v>0</v>
      </c>
    </row>
    <row r="24" spans="1:11" x14ac:dyDescent="0.2">
      <c r="A24">
        <v>107</v>
      </c>
      <c r="B24" t="s">
        <v>9</v>
      </c>
      <c r="D24">
        <v>27</v>
      </c>
      <c r="E24" t="s">
        <v>9</v>
      </c>
      <c r="G24">
        <v>73</v>
      </c>
      <c r="H24" t="s">
        <v>8</v>
      </c>
      <c r="K24" s="2">
        <f t="shared" si="1"/>
        <v>0</v>
      </c>
    </row>
    <row r="25" spans="1:11" x14ac:dyDescent="0.2">
      <c r="A25">
        <v>166</v>
      </c>
      <c r="B25" t="s">
        <v>8</v>
      </c>
      <c r="D25">
        <v>28</v>
      </c>
      <c r="E25" t="s">
        <v>8</v>
      </c>
      <c r="G25">
        <v>93</v>
      </c>
      <c r="I25">
        <v>188.98623560078701</v>
      </c>
      <c r="J25">
        <v>189</v>
      </c>
      <c r="K25" s="2">
        <f t="shared" si="1"/>
        <v>-7.2832813295799572E-5</v>
      </c>
    </row>
    <row r="26" spans="1:11" x14ac:dyDescent="0.2">
      <c r="A26">
        <v>172</v>
      </c>
      <c r="B26" t="s">
        <v>8</v>
      </c>
      <c r="D26">
        <v>33</v>
      </c>
      <c r="E26" t="s">
        <v>9</v>
      </c>
      <c r="G26">
        <v>98</v>
      </c>
      <c r="H26" t="s">
        <v>8</v>
      </c>
      <c r="K26" s="2">
        <f t="shared" si="1"/>
        <v>0</v>
      </c>
    </row>
    <row r="27" spans="1:11" x14ac:dyDescent="0.2">
      <c r="A27">
        <v>174</v>
      </c>
      <c r="B27" t="s">
        <v>8</v>
      </c>
      <c r="D27">
        <v>36</v>
      </c>
      <c r="E27" t="s">
        <v>8</v>
      </c>
      <c r="G27">
        <v>110</v>
      </c>
      <c r="H27" t="s">
        <v>8</v>
      </c>
      <c r="K27" s="2">
        <f t="shared" si="1"/>
        <v>0</v>
      </c>
    </row>
    <row r="28" spans="1:11" x14ac:dyDescent="0.2">
      <c r="A28">
        <v>200</v>
      </c>
      <c r="B28" t="s">
        <v>8</v>
      </c>
      <c r="D28">
        <v>37</v>
      </c>
      <c r="E28" t="s">
        <v>9</v>
      </c>
      <c r="G28">
        <v>113</v>
      </c>
      <c r="H28" t="s">
        <v>9</v>
      </c>
      <c r="K28" s="2" t="str">
        <f t="shared" si="1"/>
        <v/>
      </c>
    </row>
    <row r="29" spans="1:11" x14ac:dyDescent="0.2">
      <c r="A29">
        <v>241</v>
      </c>
      <c r="B29" t="s">
        <v>8</v>
      </c>
      <c r="D29">
        <v>48</v>
      </c>
      <c r="E29" t="s">
        <v>9</v>
      </c>
      <c r="G29">
        <v>122</v>
      </c>
      <c r="I29">
        <v>152.987002580667</v>
      </c>
      <c r="J29">
        <v>152.99976062081799</v>
      </c>
      <c r="K29" s="2">
        <f t="shared" si="1"/>
        <v>-8.3392967610249999E-5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Nguyen</dc:creator>
  <cp:lastModifiedBy>Di Nguyen</cp:lastModifiedBy>
  <dcterms:created xsi:type="dcterms:W3CDTF">2025-03-27T11:02:51Z</dcterms:created>
  <dcterms:modified xsi:type="dcterms:W3CDTF">2025-04-07T12:58:22Z</dcterms:modified>
</cp:coreProperties>
</file>