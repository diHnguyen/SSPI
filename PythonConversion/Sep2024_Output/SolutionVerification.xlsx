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guyen/Desktop/Local Documents/GitHub/Paper5/PythonConversion/Sep2024_Output/"/>
    </mc:Choice>
  </mc:AlternateContent>
  <xr:revisionPtr revIDLastSave="0" documentId="13_ncr:1_{2F88147B-B72B-3A41-8122-AD0844EFD183}" xr6:coauthVersionLast="47" xr6:coauthVersionMax="47" xr10:uidLastSave="{00000000-0000-0000-0000-000000000000}"/>
  <bookViews>
    <workbookView xWindow="1100" yWindow="800" windowWidth="28040" windowHeight="10600" firstSheet="1" activeTab="1" xr2:uid="{0CBAA92A-12F4-5C48-8E2B-DE6EF9BFDB02}"/>
  </bookViews>
  <sheets>
    <sheet name="SolutionVerification_Orig" sheetId="4" r:id="rId1"/>
    <sheet name="SolutionVerification" sheetId="1" r:id="rId2"/>
    <sheet name="N40_SAA" sheetId="7" r:id="rId3"/>
    <sheet name="N40_SAA-AP" sheetId="10" r:id="rId4"/>
    <sheet name="N40_Seq" sheetId="11" r:id="rId5"/>
    <sheet name="N50_Lazy" sheetId="8" r:id="rId6"/>
    <sheet name="N50_SAA" sheetId="9" r:id="rId7"/>
    <sheet name="N50_SAA-AP" sheetId="13" r:id="rId8"/>
    <sheet name="N50_Seq" sheetId="12" r:id="rId9"/>
    <sheet name="Sheet4" sheetId="5" r:id="rId10"/>
    <sheet name="Sheet2" sheetId="3" r:id="rId11"/>
  </sheets>
  <definedNames>
    <definedName name="_xlnm._FilterDatabase" localSheetId="10" hidden="1">Sheet2!$B$1:$H$103</definedName>
    <definedName name="_xlnm._FilterDatabase" localSheetId="1" hidden="1">SolutionVerification!$A$1:$G$146</definedName>
    <definedName name="_xlnm._FilterDatabase" localSheetId="0" hidden="1">SolutionVerification_Orig!$A$1:$G$152</definedName>
  </definedNames>
  <calcPr calcId="191029"/>
  <pivotCaches>
    <pivotCache cacheId="2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3" l="1"/>
  <c r="J10" i="13"/>
  <c r="J2" i="13"/>
  <c r="J3" i="13"/>
  <c r="J4" i="13"/>
  <c r="J5" i="13"/>
  <c r="J6" i="13"/>
  <c r="J7" i="13"/>
  <c r="J8" i="13"/>
  <c r="I10" i="12"/>
  <c r="J10" i="12"/>
  <c r="J2" i="12"/>
  <c r="J3" i="12"/>
  <c r="J4" i="12"/>
  <c r="J5" i="12"/>
  <c r="J6" i="12"/>
  <c r="J7" i="12"/>
  <c r="J8" i="12"/>
  <c r="I11" i="11"/>
  <c r="J11" i="11"/>
  <c r="J2" i="11"/>
  <c r="J3" i="11"/>
  <c r="J4" i="11"/>
  <c r="J5" i="11"/>
  <c r="J6" i="11"/>
  <c r="J7" i="11"/>
  <c r="J8" i="11"/>
  <c r="J9" i="11"/>
  <c r="I11" i="10"/>
  <c r="J11" i="10"/>
  <c r="J2" i="10"/>
  <c r="J3" i="10"/>
  <c r="J4" i="10"/>
  <c r="J5" i="10"/>
  <c r="J6" i="10"/>
  <c r="J7" i="10"/>
  <c r="J8" i="10"/>
  <c r="J9" i="10"/>
  <c r="I10" i="9"/>
  <c r="J10" i="9"/>
  <c r="J2" i="9"/>
  <c r="J3" i="9"/>
  <c r="J4" i="9"/>
  <c r="J5" i="9"/>
  <c r="J6" i="9"/>
  <c r="J7" i="9"/>
  <c r="J8" i="9"/>
  <c r="I10" i="8"/>
  <c r="J10" i="8"/>
  <c r="J2" i="8"/>
  <c r="J3" i="8"/>
  <c r="J4" i="8"/>
  <c r="J5" i="8"/>
  <c r="J6" i="8"/>
  <c r="J7" i="8"/>
  <c r="J8" i="8"/>
  <c r="I11" i="7"/>
  <c r="J11" i="7"/>
  <c r="J2" i="7"/>
  <c r="J3" i="7"/>
  <c r="J4" i="7"/>
  <c r="J5" i="7"/>
  <c r="J6" i="7"/>
  <c r="J7" i="7"/>
  <c r="J8" i="7"/>
  <c r="J9" i="7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/>
  <c r="H49" i="1"/>
  <c r="I49" i="1" s="1"/>
  <c r="H127" i="4"/>
  <c r="I127" i="4" s="1"/>
  <c r="H126" i="4"/>
  <c r="I126" i="4" s="1"/>
  <c r="H125" i="4"/>
  <c r="I125" i="4" s="1"/>
  <c r="H124" i="4"/>
  <c r="I124" i="4" s="1"/>
  <c r="I123" i="4"/>
  <c r="H123" i="4"/>
  <c r="H122" i="4"/>
  <c r="I122" i="4" s="1"/>
  <c r="H121" i="4"/>
  <c r="I121" i="4" s="1"/>
  <c r="H120" i="4"/>
  <c r="I120" i="4" s="1"/>
  <c r="H119" i="4"/>
  <c r="I119" i="4" s="1"/>
  <c r="I118" i="4"/>
  <c r="H118" i="4"/>
  <c r="H117" i="4"/>
  <c r="I117" i="4" s="1"/>
  <c r="H116" i="4"/>
  <c r="I116" i="4" s="1"/>
  <c r="H115" i="4"/>
  <c r="I115" i="4" s="1"/>
  <c r="H114" i="4"/>
  <c r="I114" i="4" s="1"/>
  <c r="I113" i="4"/>
  <c r="H113" i="4"/>
  <c r="H112" i="4"/>
  <c r="I112" i="4" s="1"/>
  <c r="H111" i="4"/>
  <c r="I111" i="4" s="1"/>
  <c r="H110" i="4"/>
  <c r="I110" i="4" s="1"/>
  <c r="H109" i="4"/>
  <c r="I109" i="4" s="1"/>
  <c r="I108" i="4"/>
  <c r="H108" i="4"/>
  <c r="H107" i="4"/>
  <c r="I107" i="4" s="1"/>
  <c r="H106" i="4"/>
  <c r="I106" i="4" s="1"/>
  <c r="H105" i="4"/>
  <c r="I105" i="4" s="1"/>
  <c r="H104" i="4"/>
  <c r="I104" i="4" s="1"/>
  <c r="I103" i="4"/>
  <c r="H103" i="4"/>
  <c r="H102" i="4"/>
  <c r="I102" i="4" s="1"/>
  <c r="H101" i="4"/>
  <c r="I101" i="4" s="1"/>
  <c r="H100" i="4"/>
  <c r="I100" i="4" s="1"/>
  <c r="H99" i="4"/>
  <c r="I99" i="4" s="1"/>
  <c r="I98" i="4"/>
  <c r="H98" i="4"/>
  <c r="H97" i="4"/>
  <c r="I97" i="4" s="1"/>
  <c r="H96" i="4"/>
  <c r="I96" i="4" s="1"/>
  <c r="H95" i="4"/>
  <c r="I95" i="4" s="1"/>
  <c r="H94" i="4"/>
  <c r="I94" i="4" s="1"/>
  <c r="I93" i="4"/>
  <c r="H93" i="4"/>
  <c r="H92" i="4"/>
  <c r="I92" i="4" s="1"/>
  <c r="H91" i="4"/>
  <c r="I91" i="4" s="1"/>
  <c r="H90" i="4"/>
  <c r="I90" i="4" s="1"/>
  <c r="H89" i="4"/>
  <c r="I89" i="4" s="1"/>
  <c r="I88" i="4"/>
  <c r="H88" i="4"/>
  <c r="H87" i="4"/>
  <c r="I87" i="4" s="1"/>
  <c r="H86" i="4"/>
  <c r="I86" i="4" s="1"/>
  <c r="H85" i="4"/>
  <c r="I85" i="4" s="1"/>
  <c r="H84" i="4"/>
  <c r="I84" i="4" s="1"/>
  <c r="I83" i="4"/>
  <c r="H83" i="4"/>
  <c r="H82" i="4"/>
  <c r="I82" i="4" s="1"/>
  <c r="H81" i="4"/>
  <c r="I81" i="4" s="1"/>
  <c r="H80" i="4"/>
  <c r="I80" i="4" s="1"/>
  <c r="H79" i="4"/>
  <c r="I79" i="4" s="1"/>
  <c r="I78" i="4"/>
  <c r="H78" i="4"/>
  <c r="H77" i="4"/>
  <c r="I77" i="4" s="1"/>
  <c r="H76" i="4"/>
  <c r="I76" i="4" s="1"/>
  <c r="H75" i="4"/>
  <c r="I75" i="4" s="1"/>
  <c r="H74" i="4"/>
  <c r="I74" i="4" s="1"/>
  <c r="I73" i="4"/>
  <c r="H73" i="4"/>
  <c r="H72" i="4"/>
  <c r="I72" i="4" s="1"/>
  <c r="H71" i="4"/>
  <c r="I71" i="4" s="1"/>
  <c r="H70" i="4"/>
  <c r="I70" i="4" s="1"/>
  <c r="H69" i="4"/>
  <c r="I69" i="4" s="1"/>
  <c r="I68" i="4"/>
  <c r="H68" i="4"/>
  <c r="H67" i="4"/>
  <c r="I67" i="4" s="1"/>
  <c r="H66" i="4"/>
  <c r="I66" i="4" s="1"/>
  <c r="H65" i="4"/>
  <c r="I65" i="4" s="1"/>
  <c r="H64" i="4"/>
  <c r="I64" i="4" s="1"/>
  <c r="H63" i="4"/>
  <c r="I63" i="4" s="1"/>
  <c r="H62" i="4"/>
  <c r="I62" i="4" s="1"/>
  <c r="H61" i="4"/>
  <c r="I61" i="4" s="1"/>
  <c r="H60" i="4"/>
  <c r="I60" i="4" s="1"/>
  <c r="H59" i="4"/>
  <c r="I59" i="4" s="1"/>
  <c r="H58" i="4"/>
  <c r="I58" i="4" s="1"/>
  <c r="H57" i="4"/>
  <c r="I57" i="4" s="1"/>
  <c r="H56" i="4"/>
  <c r="I56" i="4" s="1"/>
  <c r="H55" i="4"/>
  <c r="I55" i="4" s="1"/>
  <c r="H54" i="4"/>
  <c r="I54" i="4" s="1"/>
  <c r="H53" i="4"/>
  <c r="I53" i="4" s="1"/>
  <c r="H52" i="4"/>
  <c r="I52" i="4" s="1"/>
  <c r="H51" i="4"/>
  <c r="I51" i="4" s="1"/>
  <c r="H50" i="4"/>
  <c r="I50" i="4" s="1"/>
  <c r="H49" i="4"/>
  <c r="I49" i="4" s="1"/>
  <c r="H48" i="4"/>
  <c r="I48" i="4" s="1"/>
  <c r="H47" i="4"/>
  <c r="I47" i="4" s="1"/>
  <c r="H46" i="4"/>
  <c r="I46" i="4" s="1"/>
  <c r="H45" i="4"/>
  <c r="I45" i="4" s="1"/>
  <c r="H44" i="4"/>
  <c r="I44" i="4" s="1"/>
  <c r="H43" i="4"/>
  <c r="I43" i="4" s="1"/>
  <c r="H42" i="4"/>
  <c r="I42" i="4" s="1"/>
  <c r="H41" i="4"/>
  <c r="I41" i="4" s="1"/>
  <c r="H40" i="4"/>
  <c r="I40" i="4" s="1"/>
  <c r="H39" i="4"/>
  <c r="I39" i="4" s="1"/>
  <c r="H38" i="4"/>
  <c r="I38" i="4" s="1"/>
  <c r="H37" i="4"/>
  <c r="I37" i="4" s="1"/>
  <c r="H36" i="4"/>
  <c r="I36" i="4" s="1"/>
  <c r="H35" i="4"/>
  <c r="I35" i="4" s="1"/>
  <c r="H34" i="4"/>
  <c r="I34" i="4" s="1"/>
  <c r="H33" i="4"/>
  <c r="I33" i="4" s="1"/>
  <c r="H32" i="4"/>
  <c r="I32" i="4" s="1"/>
  <c r="H31" i="4"/>
  <c r="I31" i="4" s="1"/>
  <c r="H30" i="4"/>
  <c r="I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3" i="4"/>
  <c r="I3" i="4" s="1"/>
  <c r="H2" i="4"/>
  <c r="I2" i="4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2" i="1"/>
  <c r="I2" i="1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2" i="3"/>
</calcChain>
</file>

<file path=xl/sharedStrings.xml><?xml version="1.0" encoding="utf-8"?>
<sst xmlns="http://schemas.openxmlformats.org/spreadsheetml/2006/main" count="708" uniqueCount="115">
  <si>
    <t>xMain</t>
  </si>
  <si>
    <t>[ 0  1  2  3  4  5  6 32 63 85]</t>
  </si>
  <si>
    <t>xLazy</t>
  </si>
  <si>
    <t>[  0   1   2  32  39  52  63  85 105 178]</t>
  </si>
  <si>
    <t>xSAA</t>
  </si>
  <si>
    <t>[  0   1   2   3  24  25  63  85  32 139]</t>
  </si>
  <si>
    <t>xSAA_AP</t>
  </si>
  <si>
    <t>[  1   2   3  24  25  26  63  85  32 139]</t>
  </si>
  <si>
    <t>xSeq</t>
  </si>
  <si>
    <t>[  0   1   2  15  17  55  59 101 110 119]</t>
  </si>
  <si>
    <t>[  0   1   2   3   7  17  55 110 119 143]</t>
  </si>
  <si>
    <t>[  0   2  17  42  55 143  59  75 119 110]</t>
  </si>
  <si>
    <t>[  0   1   2   3   4  17  55 143 119 110]</t>
  </si>
  <si>
    <t>[  0   1   2   3   4  76  79  84  91 141]</t>
  </si>
  <si>
    <t>[  0   1  39  52  78  79  91 105 141 186]</t>
  </si>
  <si>
    <t>[  0   1   2   3   4  63  76  79 141  99]</t>
  </si>
  <si>
    <t>[  0   1   2   3   4  63  79 141  84  99]</t>
  </si>
  <si>
    <t>[  0   1   4   7  26  91 126 132 152 159]</t>
  </si>
  <si>
    <t>[  2   3   4   5   7  91 126 132 152 159]</t>
  </si>
  <si>
    <t>[  1   3   4   7  26 152  91 126 132 159]</t>
  </si>
  <si>
    <t>[  2   3   4   5   7 152  91 126 132 159]</t>
  </si>
  <si>
    <t>[  1   2  34  37  38  39  50  53  69 176]</t>
  </si>
  <si>
    <t>[  1   2  34  37  39  50  53  69 106 176]</t>
  </si>
  <si>
    <t>[  1   2  37  39  50  53 176  34  69  91]</t>
  </si>
  <si>
    <t>[  1   2   4  37  39  50  53 176  34  69]</t>
  </si>
  <si>
    <t>[  0   1   2   3   4   5   6   9 133 164]</t>
  </si>
  <si>
    <t>[  0   1   2   3   4   5   9  58 133 164]</t>
  </si>
  <si>
    <t>[  0   1   2   3   4   5   9 133 164 156]</t>
  </si>
  <si>
    <t>[  0   1   2   3   4   5   6  39  75 172]</t>
  </si>
  <si>
    <t>[  0   1   2   3   4   5  39  58  75 172]</t>
  </si>
  <si>
    <t>[  0   1   2   3   4   5  75 172  39  54]</t>
  </si>
  <si>
    <t>[  0   1   2   3 127 134 146 155 161 163]</t>
  </si>
  <si>
    <t>[  0   3  11 127 134 146 155 161 163 164]</t>
  </si>
  <si>
    <t>[  0   1   3 127 134 161 163 146 155 151]</t>
  </si>
  <si>
    <t>[  1   2   3 127 134 161 163 146 155 151]</t>
  </si>
  <si>
    <t>[  0   1   2  25  38  52  67  70  98 153]</t>
  </si>
  <si>
    <t>[  0   2   4   5  25  38  52  67  98 153]</t>
  </si>
  <si>
    <t>[  0   2   3   4  38  67 153  25  52  98]</t>
  </si>
  <si>
    <t>[  0   1  40  59  90 205 243 254 277 320]</t>
  </si>
  <si>
    <t>[  0   1  40  90 320 277 205 243  59 254]</t>
  </si>
  <si>
    <t>[  0   2   4  57 165 170 253 272 289 299]</t>
  </si>
  <si>
    <t>[  0   2   4  57 170 253 272 289 299 165]</t>
  </si>
  <si>
    <t>[  1   2   6  50  60 135 139 155 157 177]</t>
  </si>
  <si>
    <t>[  1   2   6  50  60 155 157 135 177 139]</t>
  </si>
  <si>
    <t>[  0   3   5   9 118 122 236 250 292 294]</t>
  </si>
  <si>
    <t>[  0   1   3   5   9  10 118 236 250 292]</t>
  </si>
  <si>
    <t>[  0   3   4   5 118 236 137 292 250 270]</t>
  </si>
  <si>
    <t>[  0   3   5   9 118 236 125 292 210 250]</t>
  </si>
  <si>
    <t>[  0   1   2   3   4   5   6 200 234 260]</t>
  </si>
  <si>
    <t>[  0   4  11 161 172 176 200 234 260 314]</t>
  </si>
  <si>
    <t>[  0   1   2   3   4   5 234 200 260 274]</t>
  </si>
  <si>
    <t>[  0   1   2   3   4  44 145 154 181 225]</t>
  </si>
  <si>
    <t>[  0   1   2   3   4   5   6  44 181 225]</t>
  </si>
  <si>
    <t>[  0   1   2   3  39  40  44 225 210 211]</t>
  </si>
  <si>
    <t>[  0  25  36  48  50  53  71 186 228 308]</t>
  </si>
  <si>
    <t>[  0  50  53  71  25  48  36 308 228 232]</t>
  </si>
  <si>
    <t>[  0   1   5  17 106 174 234 249 292 299]</t>
  </si>
  <si>
    <t>[  0   1   5  17 106 292 174 234 249 299]</t>
  </si>
  <si>
    <t>[  0   1  16  42  50  72 167 190 227 299]</t>
  </si>
  <si>
    <t>[  0   2   3   4   5   6  16  50 139 167]</t>
  </si>
  <si>
    <t>[  0  42  50  16 122  72 167 139 190 293]</t>
  </si>
  <si>
    <t>[  0   2   3   4   5   6  50  16 122 167]</t>
  </si>
  <si>
    <t>[  0   6  16  28 159 164 273 311 347 420]</t>
  </si>
  <si>
    <t>[  0   6  16 123 159 164 273 311 347 420]</t>
  </si>
  <si>
    <t>[  0   1   6  16 159 273 311 347 164 420]</t>
  </si>
  <si>
    <t>[  0   6  16  28 159 273 311 347 164 420]</t>
  </si>
  <si>
    <t>[  0   1   2   3   4  32 120 156 188 220]</t>
  </si>
  <si>
    <t>[  0   1   2   3  12  32 120 156 163 174]</t>
  </si>
  <si>
    <t>[  0   1   2   3   4   5 156 157  32 120]</t>
  </si>
  <si>
    <t>[  0   1   2   3   4   5 156  32 120 381]</t>
  </si>
  <si>
    <t>[  0   1   2  22  26 190 228 267 417 436]</t>
  </si>
  <si>
    <t>[  0   1   2   3   4  22  26 417 436 448]</t>
  </si>
  <si>
    <t>[  0   1   3   4  22  26 190 436 417 448]</t>
  </si>
  <si>
    <t>[  0   1   2   3   4  22  26 436 417 448]</t>
  </si>
  <si>
    <t>[  0   1   2  10  45  65 247 314 452 461]</t>
  </si>
  <si>
    <t>[  0   1  10  40  45 106 235 314 380 452]</t>
  </si>
  <si>
    <t>[  1   2   3  10 314 452 247 461 289 290]</t>
  </si>
  <si>
    <t>[  0   1   2   3   4   5  10  45 314 452]</t>
  </si>
  <si>
    <t>[  2 117 119 137 144 145 148 201 232 495]</t>
  </si>
  <si>
    <t>[  2 105 119 137 144 148 201 232 378 483]</t>
  </si>
  <si>
    <t>[  1   2   3 144 148 201 137 232 117 119]</t>
  </si>
  <si>
    <t>[  1   2   3 144 148 201 137 232 105 119]</t>
  </si>
  <si>
    <t>[  1   4  77 128 244 270 283 352 427 472]</t>
  </si>
  <si>
    <t>[  1   4  77 128 244 283 352 427 270 472]</t>
  </si>
  <si>
    <t>[  0   1   2  17  55 143 101  75 119 110]</t>
  </si>
  <si>
    <t>[  1   4   7  26 152  91 126 132 159 112]</t>
  </si>
  <si>
    <t>[  2   4   6  45  93 100 157 162  62 148]</t>
  </si>
  <si>
    <t>[  2   4   7  29  49  93 116 131 274 243]</t>
  </si>
  <si>
    <t>[  2   8  60  61  81 169 170 153  65 124]</t>
  </si>
  <si>
    <t>[  0   1   2   3   4   5 118 236 292 250]</t>
  </si>
  <si>
    <t>[  0   1   2   3  39  40  41  44 225 211]</t>
  </si>
  <si>
    <t>[  0  50  53  71 186  25  48  36 308 228]</t>
  </si>
  <si>
    <t>[  0   2  11 314   9 447 149 300 437 375]</t>
  </si>
  <si>
    <t>[  1  49  51  89 107 258 265 344 323 155]</t>
  </si>
  <si>
    <t>[  0   1   2   3  50 227 167 139 190 293]</t>
  </si>
  <si>
    <t>[  0   1   2   3   4   5   6 156  32 381]</t>
  </si>
  <si>
    <t>[  0   1   2   3   4  10  45 314 452 290]</t>
  </si>
  <si>
    <t>[ 39  59  63  66  68  73 512 387 350 102]</t>
  </si>
  <si>
    <t>N</t>
  </si>
  <si>
    <t>Ins</t>
  </si>
  <si>
    <t>Alg</t>
  </si>
  <si>
    <t>xSol</t>
  </si>
  <si>
    <t>numScens</t>
  </si>
  <si>
    <t>b</t>
  </si>
  <si>
    <t>Obj</t>
  </si>
  <si>
    <t>Row Labels</t>
  </si>
  <si>
    <t>Grand Total</t>
  </si>
  <si>
    <t>vs xMain</t>
  </si>
  <si>
    <t>Diff Obj</t>
  </si>
  <si>
    <t>Column Labels</t>
  </si>
  <si>
    <t>Total Count of Diff Obj</t>
  </si>
  <si>
    <t>Count of Diff Obj</t>
  </si>
  <si>
    <t>Total Average of Diff Obj2</t>
  </si>
  <si>
    <t>Average of Diff Obj2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</si>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</sst>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%"/>
    <numFmt numFmtId="171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42" applyNumberFormat="1" applyFont="1"/>
    <xf numFmtId="165" fontId="0" fillId="0" borderId="0" xfId="0" applyNumberFormat="1"/>
    <xf numFmtId="17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 Nguyen" refreshedDate="45566.537617361108" createdVersion="8" refreshedVersion="8" minRefreshableVersion="3" recordCount="96" xr:uid="{478637A6-D8D6-7E4D-BD5B-7DFEAC0A7E81}">
  <cacheSource type="worksheet">
    <worksheetSource ref="A1:I97" sheet="SolutionVerification"/>
  </cacheSource>
  <cacheFields count="9">
    <cacheField name="N" numFmtId="0">
      <sharedItems containsSemiMixedTypes="0" containsString="0" containsNumber="1" containsInteger="1" minValue="30" maxValue="50" count="3">
        <n v="30"/>
        <n v="40"/>
        <n v="50"/>
      </sharedItems>
    </cacheField>
    <cacheField name="Ins" numFmtId="0">
      <sharedItems containsSemiMixedTypes="0" containsString="0" containsNumber="1" containsInteger="1" minValue="1" maxValue="10"/>
    </cacheField>
    <cacheField name="Alg" numFmtId="0">
      <sharedItems count="4">
        <s v="xLazy"/>
        <s v="xSAA"/>
        <s v="xSAA_AP"/>
        <s v="xSeq"/>
      </sharedItems>
    </cacheField>
    <cacheField name="xSol" numFmtId="0">
      <sharedItems/>
    </cacheField>
    <cacheField name="numScens" numFmtId="0">
      <sharedItems containsSemiMixedTypes="0" containsString="0" containsNumber="1" containsInteger="1" minValue="100000" maxValue="100000"/>
    </cacheField>
    <cacheField name="b" numFmtId="0">
      <sharedItems containsSemiMixedTypes="0" containsString="0" containsNumber="1" containsInteger="1" minValue="10" maxValue="10"/>
    </cacheField>
    <cacheField name="Obj" numFmtId="0">
      <sharedItems containsSemiMixedTypes="0" containsString="0" containsNumber="1" minValue="168" maxValue="688.06318745206397"/>
    </cacheField>
    <cacheField name="vs xMain" numFmtId="0">
      <sharedItems containsSemiMixedTypes="0" containsString="0" containsNumber="1" minValue="168" maxValue="688.06318745206397"/>
    </cacheField>
    <cacheField name="Diff Obj" numFmtId="0">
      <sharedItems containsSemiMixedTypes="0" containsString="0" containsNumber="1" minValue="-0.12817189370105098" maxValue="0.283974895566984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n v="1"/>
    <x v="0"/>
    <s v="[  0   1   2  32  39  52  63  85 105 178]"/>
    <n v="100000"/>
    <n v="10"/>
    <n v="564.13478690584202"/>
    <n v="564.13478690584202"/>
    <n v="0"/>
  </r>
  <r>
    <x v="0"/>
    <n v="2"/>
    <x v="0"/>
    <s v="[  0   1   2   3   7  17  55 110 119 143]"/>
    <n v="100000"/>
    <n v="10"/>
    <n v="463.72986594221999"/>
    <n v="463.72986594221999"/>
    <n v="0"/>
  </r>
  <r>
    <x v="0"/>
    <n v="3"/>
    <x v="0"/>
    <s v="[  0   1  39  52  78  79  91 105 141 186]"/>
    <n v="100000"/>
    <n v="10"/>
    <n v="275"/>
    <n v="275"/>
    <n v="0"/>
  </r>
  <r>
    <x v="0"/>
    <n v="4"/>
    <x v="0"/>
    <s v="[  2   3   4   5   7  91 126 132 152 159]"/>
    <n v="100000"/>
    <n v="10"/>
    <n v="397.001732613603"/>
    <n v="397.001732613603"/>
    <n v="0"/>
  </r>
  <r>
    <x v="0"/>
    <n v="5"/>
    <x v="0"/>
    <s v="[  1   2  34  37  39  50  53  69 106 176]"/>
    <n v="100000"/>
    <n v="10"/>
    <n v="321.39979977021602"/>
    <n v="321.39979977021602"/>
    <n v="0"/>
  </r>
  <r>
    <x v="0"/>
    <n v="7"/>
    <x v="0"/>
    <s v="[  0   1   2   3   4   5   9  58 133 164]"/>
    <n v="100000"/>
    <n v="10"/>
    <n v="388"/>
    <n v="388"/>
    <n v="0"/>
  </r>
  <r>
    <x v="0"/>
    <n v="8"/>
    <x v="0"/>
    <s v="[  0   1   2   3   4   5  39  58  75 172]"/>
    <n v="100000"/>
    <n v="10"/>
    <n v="330"/>
    <n v="330"/>
    <n v="0"/>
  </r>
  <r>
    <x v="0"/>
    <n v="9"/>
    <x v="0"/>
    <s v="[  0   3  11 127 134 146 155 161 163 164]"/>
    <n v="100000"/>
    <n v="10"/>
    <n v="371.009410406531"/>
    <n v="371.009410406531"/>
    <n v="0"/>
  </r>
  <r>
    <x v="0"/>
    <n v="10"/>
    <x v="0"/>
    <s v="[  0   2   4   5  25  38  52  67  98 153]"/>
    <n v="100000"/>
    <n v="10"/>
    <n v="688.06318745206397"/>
    <n v="688.06318745206397"/>
    <n v="0"/>
  </r>
  <r>
    <x v="1"/>
    <n v="1"/>
    <x v="0"/>
    <s v="[  0   1  40  59  90 205 243 254 277 320]"/>
    <n v="100000"/>
    <n v="10"/>
    <n v="509.23269528755299"/>
    <n v="509.23269528755299"/>
    <n v="0"/>
  </r>
  <r>
    <x v="1"/>
    <n v="2"/>
    <x v="0"/>
    <s v="[  0   2   4  57 165 170 253 272 289 299]"/>
    <n v="100000"/>
    <n v="10"/>
    <n v="496.954405994441"/>
    <n v="496.954405994441"/>
    <n v="0"/>
  </r>
  <r>
    <x v="1"/>
    <n v="3"/>
    <x v="0"/>
    <s v="[  1   2   6  50  60 135 139 155 157 177]"/>
    <n v="100000"/>
    <n v="10"/>
    <n v="454.51928028419798"/>
    <n v="454.51928028419798"/>
    <n v="0"/>
  </r>
  <r>
    <x v="1"/>
    <n v="6"/>
    <x v="0"/>
    <s v="[  0   1   3   5   9  10 118 236 250 292]"/>
    <n v="100000"/>
    <n v="10"/>
    <n v="264.17242840239601"/>
    <n v="264.17242840239601"/>
    <n v="0"/>
  </r>
  <r>
    <x v="1"/>
    <n v="7"/>
    <x v="0"/>
    <s v="[  0   4  11 161 172 176 200 234 260 314]"/>
    <n v="100000"/>
    <n v="10"/>
    <n v="168"/>
    <n v="168"/>
    <n v="0"/>
  </r>
  <r>
    <x v="1"/>
    <n v="8"/>
    <x v="0"/>
    <s v="[  0   1   2   3   4   5   6  44 181 225]"/>
    <n v="100000"/>
    <n v="10"/>
    <n v="584.99820484905604"/>
    <n v="584.99820484905604"/>
    <n v="0"/>
  </r>
  <r>
    <x v="1"/>
    <n v="9"/>
    <x v="0"/>
    <s v="[  0  25  36  48  50  53  71 186 228 308]"/>
    <n v="100000"/>
    <n v="10"/>
    <n v="458.16802167440301"/>
    <n v="458.16802167440301"/>
    <n v="0"/>
  </r>
  <r>
    <x v="1"/>
    <n v="10"/>
    <x v="0"/>
    <s v="[  0   1   5  17 106 174 234 249 292 299]"/>
    <n v="100000"/>
    <n v="10"/>
    <n v="486.51259095187299"/>
    <n v="486.51259095187299"/>
    <n v="0"/>
  </r>
  <r>
    <x v="2"/>
    <n v="3"/>
    <x v="0"/>
    <s v="[  0   2   3   4   5   6  16  50 139 167]"/>
    <n v="100000"/>
    <n v="10"/>
    <n v="361"/>
    <n v="360.99828766528401"/>
    <n v="1.7123347159895275E-3"/>
  </r>
  <r>
    <x v="2"/>
    <n v="4"/>
    <x v="0"/>
    <s v="[  0   6  16 123 159 164 273 311 347 420]"/>
    <n v="100000"/>
    <n v="10"/>
    <n v="357.94404422289"/>
    <n v="357.94404422289"/>
    <n v="0"/>
  </r>
  <r>
    <x v="2"/>
    <n v="5"/>
    <x v="0"/>
    <s v="[  0   1   2   3  12  32 120 156 163 174]"/>
    <n v="100000"/>
    <n v="10"/>
    <n v="531"/>
    <n v="531"/>
    <n v="0"/>
  </r>
  <r>
    <x v="2"/>
    <n v="6"/>
    <x v="0"/>
    <s v="[  0   1   2   3   4  22  26 417 436 448]"/>
    <n v="100000"/>
    <n v="10"/>
    <n v="276.01626420815001"/>
    <n v="275.73228931258302"/>
    <n v="0.28397489556698474"/>
  </r>
  <r>
    <x v="2"/>
    <n v="7"/>
    <x v="0"/>
    <s v="[  0   1  10  40  45 106 235 314 380 452]"/>
    <n v="100000"/>
    <n v="10"/>
    <n v="204.000144495554"/>
    <n v="204.000144495554"/>
    <n v="0"/>
  </r>
  <r>
    <x v="2"/>
    <n v="8"/>
    <x v="0"/>
    <s v="[  2 105 119 137 144 148 201 232 378 483]"/>
    <n v="100000"/>
    <n v="10"/>
    <n v="168"/>
    <n v="168"/>
    <n v="0"/>
  </r>
  <r>
    <x v="2"/>
    <n v="9"/>
    <x v="0"/>
    <s v="[  1   4  77 128 244 270 283 352 427 472]"/>
    <n v="100000"/>
    <n v="10"/>
    <n v="353.47810742444699"/>
    <n v="353.47810742444699"/>
    <n v="0"/>
  </r>
  <r>
    <x v="0"/>
    <n v="1"/>
    <x v="1"/>
    <s v="[  0   1   2   3  24  25  63  85  32 139]"/>
    <n v="100000"/>
    <n v="10"/>
    <n v="564.13478690584202"/>
    <n v="564.13478690584202"/>
    <n v="0"/>
  </r>
  <r>
    <x v="0"/>
    <n v="2"/>
    <x v="1"/>
    <s v="[  0   2  17  42  55 143  59  75 119 110]"/>
    <n v="100000"/>
    <n v="10"/>
    <n v="463.72986594221999"/>
    <n v="463.72986594221999"/>
    <n v="0"/>
  </r>
  <r>
    <x v="0"/>
    <n v="3"/>
    <x v="1"/>
    <s v="[  0   1   2   3   4  63  76  79 141  99]"/>
    <n v="100000"/>
    <n v="10"/>
    <n v="275"/>
    <n v="275"/>
    <n v="0"/>
  </r>
  <r>
    <x v="0"/>
    <n v="4"/>
    <x v="1"/>
    <s v="[  1   3   4   7  26 152  91 126 132 159]"/>
    <n v="100000"/>
    <n v="10"/>
    <n v="397.001732613603"/>
    <n v="397.001732613603"/>
    <n v="0"/>
  </r>
  <r>
    <x v="0"/>
    <n v="5"/>
    <x v="1"/>
    <s v="[  1   2  37  39  50  53 176  34  69  91]"/>
    <n v="100000"/>
    <n v="10"/>
    <n v="321.39979977021602"/>
    <n v="321.39979977021602"/>
    <n v="0"/>
  </r>
  <r>
    <x v="0"/>
    <n v="7"/>
    <x v="1"/>
    <s v="[  0   1   2   3   4   5   9 133 164 156]"/>
    <n v="100000"/>
    <n v="10"/>
    <n v="388"/>
    <n v="388"/>
    <n v="0"/>
  </r>
  <r>
    <x v="0"/>
    <n v="8"/>
    <x v="1"/>
    <s v="[  0   1   2   3   4   5  75 172  39  54]"/>
    <n v="100000"/>
    <n v="10"/>
    <n v="330"/>
    <n v="330"/>
    <n v="0"/>
  </r>
  <r>
    <x v="0"/>
    <n v="9"/>
    <x v="1"/>
    <s v="[  0   1   3 127 134 161 163 146 155 151]"/>
    <n v="100000"/>
    <n v="10"/>
    <n v="371.009410406531"/>
    <n v="371.009410406531"/>
    <n v="0"/>
  </r>
  <r>
    <x v="0"/>
    <n v="10"/>
    <x v="1"/>
    <s v="[  0   2   3   4  38  67 153  25  52  98]"/>
    <n v="100000"/>
    <n v="10"/>
    <n v="688.06318745206397"/>
    <n v="688.06318745206397"/>
    <n v="0"/>
  </r>
  <r>
    <x v="1"/>
    <n v="1"/>
    <x v="1"/>
    <s v="[  0   1  40  90 320 277 205 243  59 254]"/>
    <n v="100000"/>
    <n v="10"/>
    <n v="509.23269528755299"/>
    <n v="509.23269528755299"/>
    <n v="0"/>
  </r>
  <r>
    <x v="1"/>
    <n v="2"/>
    <x v="1"/>
    <s v="[  0   2   4  57 170 253 272 289 299 165]"/>
    <n v="100000"/>
    <n v="10"/>
    <n v="496.954405994441"/>
    <n v="496.954405994441"/>
    <n v="0"/>
  </r>
  <r>
    <x v="1"/>
    <n v="3"/>
    <x v="1"/>
    <s v="[  1   2   6  50  60 155 157 135 177 139]"/>
    <n v="100000"/>
    <n v="10"/>
    <n v="454.51928028419798"/>
    <n v="454.51928028419798"/>
    <n v="0"/>
  </r>
  <r>
    <x v="1"/>
    <n v="6"/>
    <x v="1"/>
    <s v="[  0   3   4   5 118 236 137 292 250 270]"/>
    <n v="100000"/>
    <n v="10"/>
    <n v="264.13810367492403"/>
    <n v="264.17242840239601"/>
    <n v="-3.4324727471982897E-2"/>
  </r>
  <r>
    <x v="1"/>
    <n v="7"/>
    <x v="1"/>
    <s v="[  0   1   2   3   4   5 234 200 260 274]"/>
    <n v="100000"/>
    <n v="10"/>
    <n v="168"/>
    <n v="168"/>
    <n v="0"/>
  </r>
  <r>
    <x v="1"/>
    <n v="8"/>
    <x v="1"/>
    <s v="[  0   1   2   3  39  40  44 225 210 211]"/>
    <n v="100000"/>
    <n v="10"/>
    <n v="584.99393359201804"/>
    <n v="584.99820484905604"/>
    <n v="-4.2712570379990211E-3"/>
  </r>
  <r>
    <x v="1"/>
    <n v="9"/>
    <x v="1"/>
    <s v="[  0  50  53  71  25  48  36 308 228 232]"/>
    <n v="100000"/>
    <n v="10"/>
    <n v="458.16802167440301"/>
    <n v="458.16802167440301"/>
    <n v="0"/>
  </r>
  <r>
    <x v="1"/>
    <n v="10"/>
    <x v="1"/>
    <s v="[  0   1   5  17 106 292 174 234 249 299]"/>
    <n v="100000"/>
    <n v="10"/>
    <n v="486.51259095187299"/>
    <n v="486.51259095187299"/>
    <n v="0"/>
  </r>
  <r>
    <x v="2"/>
    <n v="3"/>
    <x v="1"/>
    <s v="[  0  42  50  16 122  72 167 139 190 293]"/>
    <n v="100000"/>
    <n v="10"/>
    <n v="361"/>
    <n v="360.99828766528401"/>
    <n v="1.7123347159895275E-3"/>
  </r>
  <r>
    <x v="2"/>
    <n v="4"/>
    <x v="1"/>
    <s v="[  0   1   6  16 159 273 311 347 164 420]"/>
    <n v="100000"/>
    <n v="10"/>
    <n v="357.94404422289"/>
    <n v="357.94404422289"/>
    <n v="0"/>
  </r>
  <r>
    <x v="2"/>
    <n v="5"/>
    <x v="1"/>
    <s v="[  0   1   2   3   4   5 156 157  32 120]"/>
    <n v="100000"/>
    <n v="10"/>
    <n v="531"/>
    <n v="531"/>
    <n v="0"/>
  </r>
  <r>
    <x v="2"/>
    <n v="6"/>
    <x v="1"/>
    <s v="[  0   1   3   4  22  26 190 436 417 448]"/>
    <n v="100000"/>
    <n v="10"/>
    <n v="276.01626420815001"/>
    <n v="275.73228931258302"/>
    <n v="0.28397489556698474"/>
  </r>
  <r>
    <x v="2"/>
    <n v="7"/>
    <x v="1"/>
    <s v="[  1   2   3  10 314 452 247 461 289 290]"/>
    <n v="100000"/>
    <n v="10"/>
    <n v="204.000144495554"/>
    <n v="204.000144495554"/>
    <n v="0"/>
  </r>
  <r>
    <x v="2"/>
    <n v="8"/>
    <x v="1"/>
    <s v="[  1   2   3 144 148 201 137 232 117 119]"/>
    <n v="100000"/>
    <n v="10"/>
    <n v="168"/>
    <n v="168"/>
    <n v="0"/>
  </r>
  <r>
    <x v="2"/>
    <n v="9"/>
    <x v="1"/>
    <s v="[  1   4  77 128 244 283 352 427 270 472]"/>
    <n v="100000"/>
    <n v="10"/>
    <n v="353.47810742444699"/>
    <n v="353.47810742444699"/>
    <n v="0"/>
  </r>
  <r>
    <x v="0"/>
    <n v="1"/>
    <x v="2"/>
    <s v="[  1   2   3  24  25  26  63  85  32 139]"/>
    <n v="100000"/>
    <n v="10"/>
    <n v="564.13478690584202"/>
    <n v="564.13478690584202"/>
    <n v="0"/>
  </r>
  <r>
    <x v="0"/>
    <n v="2"/>
    <x v="2"/>
    <s v="[  0   1   2   3   4  17  55 143 119 110]"/>
    <n v="100000"/>
    <n v="10"/>
    <n v="463.72986594221999"/>
    <n v="463.72986594221999"/>
    <n v="0"/>
  </r>
  <r>
    <x v="0"/>
    <n v="3"/>
    <x v="2"/>
    <s v="[  0   1   2   3   4  63  79 141  84  99]"/>
    <n v="100000"/>
    <n v="10"/>
    <n v="275"/>
    <n v="275"/>
    <n v="0"/>
  </r>
  <r>
    <x v="0"/>
    <n v="4"/>
    <x v="2"/>
    <s v="[  2   3   4   5   7 152  91 126 132 159]"/>
    <n v="100000"/>
    <n v="10"/>
    <n v="397.001732613603"/>
    <n v="397.001732613603"/>
    <n v="0"/>
  </r>
  <r>
    <x v="0"/>
    <n v="5"/>
    <x v="2"/>
    <s v="[  1   2   4  37  39  50  53 176  34  69]"/>
    <n v="100000"/>
    <n v="10"/>
    <n v="321.39979977021602"/>
    <n v="321.39979977021602"/>
    <n v="0"/>
  </r>
  <r>
    <x v="0"/>
    <n v="7"/>
    <x v="2"/>
    <s v="[  0   1   2   3   4   5   9 133 164 156]"/>
    <n v="100000"/>
    <n v="10"/>
    <n v="388"/>
    <n v="388"/>
    <n v="0"/>
  </r>
  <r>
    <x v="0"/>
    <n v="8"/>
    <x v="2"/>
    <s v="[  0   1   2   3   4   5  75 172  39  54]"/>
    <n v="100000"/>
    <n v="10"/>
    <n v="330"/>
    <n v="330"/>
    <n v="0"/>
  </r>
  <r>
    <x v="0"/>
    <n v="9"/>
    <x v="2"/>
    <s v="[  1   2   3 127 134 161 163 146 155 151]"/>
    <n v="100000"/>
    <n v="10"/>
    <n v="371.009410406531"/>
    <n v="371.009410406531"/>
    <n v="0"/>
  </r>
  <r>
    <x v="0"/>
    <n v="10"/>
    <x v="2"/>
    <s v="[  0   2   3   4  38  67 153  25  52  98]"/>
    <n v="100000"/>
    <n v="10"/>
    <n v="688.06318745206397"/>
    <n v="688.06318745206397"/>
    <n v="0"/>
  </r>
  <r>
    <x v="1"/>
    <n v="1"/>
    <x v="2"/>
    <s v="[  0   1  40  90 320 277 205 243  59 254]"/>
    <n v="100000"/>
    <n v="10"/>
    <n v="509.23269528755299"/>
    <n v="509.23269528755299"/>
    <n v="0"/>
  </r>
  <r>
    <x v="1"/>
    <n v="2"/>
    <x v="2"/>
    <s v="[  0   2   4  57 170 253 272 289 299 165]"/>
    <n v="100000"/>
    <n v="10"/>
    <n v="496.954405994441"/>
    <n v="496.954405994441"/>
    <n v="0"/>
  </r>
  <r>
    <x v="1"/>
    <n v="3"/>
    <x v="2"/>
    <s v="[  1   2   6  50  60 155 157 135 177 139]"/>
    <n v="100000"/>
    <n v="10"/>
    <n v="454.51928028419798"/>
    <n v="454.51928028419798"/>
    <n v="0"/>
  </r>
  <r>
    <x v="1"/>
    <n v="6"/>
    <x v="2"/>
    <s v="[  0   3   5   9 118 236 125 292 210 250]"/>
    <n v="100000"/>
    <n v="10"/>
    <n v="264.17242840239601"/>
    <n v="264.17242840239601"/>
    <n v="0"/>
  </r>
  <r>
    <x v="1"/>
    <n v="7"/>
    <x v="2"/>
    <s v="[  0   1   2   3   4   5 234 200 260 274]"/>
    <n v="100000"/>
    <n v="10"/>
    <n v="168"/>
    <n v="168"/>
    <n v="0"/>
  </r>
  <r>
    <x v="1"/>
    <n v="8"/>
    <x v="2"/>
    <s v="[  0   1   2   3  39  40  44 225 210 211]"/>
    <n v="100000"/>
    <n v="10"/>
    <n v="584.99393359201804"/>
    <n v="584.99820484905604"/>
    <n v="-4.2712570379990211E-3"/>
  </r>
  <r>
    <x v="1"/>
    <n v="9"/>
    <x v="2"/>
    <s v="[  0  50  53  71  25  48  36 308 228 232]"/>
    <n v="100000"/>
    <n v="10"/>
    <n v="458.16802167440301"/>
    <n v="458.16802167440301"/>
    <n v="0"/>
  </r>
  <r>
    <x v="1"/>
    <n v="10"/>
    <x v="2"/>
    <s v="[  0   1   5  17 106 292 174 234 249 299]"/>
    <n v="100000"/>
    <n v="10"/>
    <n v="486.51259095187299"/>
    <n v="486.51259095187299"/>
    <n v="0"/>
  </r>
  <r>
    <x v="2"/>
    <n v="3"/>
    <x v="2"/>
    <s v="[  0   2   3   4   5   6  50  16 122 167]"/>
    <n v="100000"/>
    <n v="10"/>
    <n v="361"/>
    <n v="360.99828766528401"/>
    <n v="1.7123347159895275E-3"/>
  </r>
  <r>
    <x v="2"/>
    <n v="4"/>
    <x v="2"/>
    <s v="[  0   6  16  28 159 273 311 347 164 420]"/>
    <n v="100000"/>
    <n v="10"/>
    <n v="357.94404422289"/>
    <n v="357.94404422289"/>
    <n v="0"/>
  </r>
  <r>
    <x v="2"/>
    <n v="5"/>
    <x v="2"/>
    <s v="[  0   1   2   3   4   5 156  32 120 381]"/>
    <n v="100000"/>
    <n v="10"/>
    <n v="531"/>
    <n v="531"/>
    <n v="0"/>
  </r>
  <r>
    <x v="2"/>
    <n v="6"/>
    <x v="2"/>
    <s v="[  0   1   2   3   4  22  26 436 417 448]"/>
    <n v="100000"/>
    <n v="10"/>
    <n v="276.01626420815001"/>
    <n v="275.73228931258302"/>
    <n v="0.28397489556698474"/>
  </r>
  <r>
    <x v="2"/>
    <n v="7"/>
    <x v="2"/>
    <s v="[  0   1   2   3   4   5  10  45 314 452]"/>
    <n v="100000"/>
    <n v="10"/>
    <n v="204.000144495554"/>
    <n v="204.000144495554"/>
    <n v="0"/>
  </r>
  <r>
    <x v="2"/>
    <n v="8"/>
    <x v="2"/>
    <s v="[  1   2   3 144 148 201 137 232 105 119]"/>
    <n v="100000"/>
    <n v="10"/>
    <n v="168"/>
    <n v="168"/>
    <n v="0"/>
  </r>
  <r>
    <x v="2"/>
    <n v="9"/>
    <x v="2"/>
    <s v="[  1   4  77 128 244 283 352 427 270 472]"/>
    <n v="100000"/>
    <n v="10"/>
    <n v="353.47810742444699"/>
    <n v="353.47810742444699"/>
    <n v="0"/>
  </r>
  <r>
    <x v="0"/>
    <n v="1"/>
    <x v="3"/>
    <s v="[  0   1   2   3  24  25  63  85  32 139]"/>
    <n v="100000"/>
    <n v="10"/>
    <n v="564.13478690584202"/>
    <n v="564.13478690584202"/>
    <n v="0"/>
  </r>
  <r>
    <x v="0"/>
    <n v="2"/>
    <x v="3"/>
    <s v="[  0   1   2  17  55 143 101  75 119 110]"/>
    <n v="100000"/>
    <n v="10"/>
    <n v="463.72986594221999"/>
    <n v="463.72986594221999"/>
    <n v="0"/>
  </r>
  <r>
    <x v="0"/>
    <n v="3"/>
    <x v="3"/>
    <s v="[  0   1   2   3   4  63  76  79 141  99]"/>
    <n v="100000"/>
    <n v="10"/>
    <n v="275"/>
    <n v="275"/>
    <n v="0"/>
  </r>
  <r>
    <x v="0"/>
    <n v="4"/>
    <x v="3"/>
    <s v="[  1   4   7  26 152  91 126 132 159 112]"/>
    <n v="100000"/>
    <n v="10"/>
    <n v="397.001732613603"/>
    <n v="397.001732613603"/>
    <n v="0"/>
  </r>
  <r>
    <x v="0"/>
    <n v="5"/>
    <x v="3"/>
    <s v="[  1   2  37  39  50  53 176  34  69  91]"/>
    <n v="100000"/>
    <n v="10"/>
    <n v="321.39979977021602"/>
    <n v="321.39979977021602"/>
    <n v="0"/>
  </r>
  <r>
    <x v="0"/>
    <n v="7"/>
    <x v="3"/>
    <s v="[  0   1   2   3   4   5   9 133 164 156]"/>
    <n v="100000"/>
    <n v="10"/>
    <n v="388"/>
    <n v="388"/>
    <n v="0"/>
  </r>
  <r>
    <x v="0"/>
    <n v="8"/>
    <x v="3"/>
    <s v="[  0   1   2   3   4   5  75 172  39  54]"/>
    <n v="100000"/>
    <n v="10"/>
    <n v="330"/>
    <n v="330"/>
    <n v="0"/>
  </r>
  <r>
    <x v="0"/>
    <n v="9"/>
    <x v="3"/>
    <s v="[  0   1   3 127 134 161 163 146 155 151]"/>
    <n v="100000"/>
    <n v="10"/>
    <n v="371.009410406531"/>
    <n v="371.009410406531"/>
    <n v="0"/>
  </r>
  <r>
    <x v="0"/>
    <n v="10"/>
    <x v="3"/>
    <s v="[  0   2   3   4  38  67 153  25  52  98]"/>
    <n v="100000"/>
    <n v="10"/>
    <n v="688.06318745206397"/>
    <n v="688.06318745206397"/>
    <n v="0"/>
  </r>
  <r>
    <x v="1"/>
    <n v="1"/>
    <x v="3"/>
    <s v="[  0   1  40  90 320 277 205 243  59 254]"/>
    <n v="100000"/>
    <n v="10"/>
    <n v="509.23269528755299"/>
    <n v="509.23269528755299"/>
    <n v="0"/>
  </r>
  <r>
    <x v="1"/>
    <n v="2"/>
    <x v="3"/>
    <s v="[  0   2   4  57 170 253 272 289 299 165]"/>
    <n v="100000"/>
    <n v="10"/>
    <n v="496.954405994441"/>
    <n v="496.954405994441"/>
    <n v="0"/>
  </r>
  <r>
    <x v="1"/>
    <n v="3"/>
    <x v="3"/>
    <s v="[  1   2   6  50  60 155 157 135 177 139]"/>
    <n v="100000"/>
    <n v="10"/>
    <n v="454.51928028419798"/>
    <n v="454.51928028419798"/>
    <n v="0"/>
  </r>
  <r>
    <x v="1"/>
    <n v="6"/>
    <x v="3"/>
    <s v="[  0   1   2   3   4   5 118 236 292 250]"/>
    <n v="100000"/>
    <n v="10"/>
    <n v="264.09418410242102"/>
    <n v="264.17242840239601"/>
    <n v="-7.8244299974983278E-2"/>
  </r>
  <r>
    <x v="1"/>
    <n v="7"/>
    <x v="3"/>
    <s v="[  0   1   2   3   4   5 234 200 260 274]"/>
    <n v="100000"/>
    <n v="10"/>
    <n v="168"/>
    <n v="168"/>
    <n v="0"/>
  </r>
  <r>
    <x v="1"/>
    <n v="8"/>
    <x v="3"/>
    <s v="[  0   1   2   3  39  40  41  44 225 211]"/>
    <n v="100000"/>
    <n v="10"/>
    <n v="584.99393359201804"/>
    <n v="584.99820484905604"/>
    <n v="-4.2712570379990211E-3"/>
  </r>
  <r>
    <x v="1"/>
    <n v="9"/>
    <x v="3"/>
    <s v="[  0  50  53  71 186  25  48  36 308 228]"/>
    <n v="100000"/>
    <n v="10"/>
    <n v="458.16802167440301"/>
    <n v="458.16802167440301"/>
    <n v="0"/>
  </r>
  <r>
    <x v="1"/>
    <n v="10"/>
    <x v="3"/>
    <s v="[  0   1   5  17 106 292 174 234 249 299]"/>
    <n v="100000"/>
    <n v="10"/>
    <n v="486.51259095187299"/>
    <n v="486.51259095187299"/>
    <n v="0"/>
  </r>
  <r>
    <x v="2"/>
    <n v="3"/>
    <x v="3"/>
    <s v="[  0   1   2   3  50 227 167 139 190 293]"/>
    <n v="100000"/>
    <n v="10"/>
    <n v="361"/>
    <n v="360.99828766528401"/>
    <n v="1.7123347159895275E-3"/>
  </r>
  <r>
    <x v="2"/>
    <n v="4"/>
    <x v="3"/>
    <s v="[  0   6  16  28 159 273 311 347 164 420]"/>
    <n v="100000"/>
    <n v="10"/>
    <n v="357.94404422289"/>
    <n v="357.94404422289"/>
    <n v="0"/>
  </r>
  <r>
    <x v="2"/>
    <n v="5"/>
    <x v="3"/>
    <s v="[  0   1   2   3   4   5   6 156  32 381]"/>
    <n v="100000"/>
    <n v="10"/>
    <n v="530.87182810629895"/>
    <n v="531"/>
    <n v="-0.12817189370105098"/>
  </r>
  <r>
    <x v="2"/>
    <n v="6"/>
    <x v="3"/>
    <s v="[  0   1   2   3   4  22  26 436 417 448]"/>
    <n v="100000"/>
    <n v="10"/>
    <n v="276.01626420815001"/>
    <n v="275.73228931258302"/>
    <n v="0.28397489556698474"/>
  </r>
  <r>
    <x v="2"/>
    <n v="7"/>
    <x v="3"/>
    <s v="[  0   1   2   3   4  10  45 314 452 290]"/>
    <n v="100000"/>
    <n v="10"/>
    <n v="204.000144495554"/>
    <n v="204.000144495554"/>
    <n v="0"/>
  </r>
  <r>
    <x v="2"/>
    <n v="8"/>
    <x v="3"/>
    <s v="[  1   2   3 144 148 201 137 232 117 119]"/>
    <n v="100000"/>
    <n v="10"/>
    <n v="168"/>
    <n v="168"/>
    <n v="0"/>
  </r>
  <r>
    <x v="2"/>
    <n v="9"/>
    <x v="3"/>
    <s v="[  1   4  77 128 244 283 352 427 270 472]"/>
    <n v="100000"/>
    <n v="10"/>
    <n v="353.47810742444699"/>
    <n v="353.4781074244469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A5A18-80CC-8B4D-A32D-BCBE45A35DFA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9" firstHeaderRow="1" firstDataRow="3" firstDataCol="1"/>
  <pivotFields count="9"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Diff Obj" fld="8" subtotal="count" baseField="0" baseItem="0"/>
    <dataField name="Average of Diff Obj2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5228F-3F42-BA43-9354-CD65888675A5}" name="Table2" displayName="Table2" ref="A1:J9" totalsRowShown="0">
  <autoFilter ref="A1:J9" xr:uid="{C225228F-3F42-BA43-9354-CD65888675A5}"/>
  <tableColumns count="10">
    <tableColumn id="1" xr3:uid="{2C79ADD1-22C6-FD41-9BC0-3372BF83C186}" name="N"/>
    <tableColumn id="2" xr3:uid="{4C0987A6-D5A0-C94C-97FC-EBC21D63B5CE}" name="Ins"/>
    <tableColumn id="3" xr3:uid="{ECC760F3-9C65-8A4A-8B1E-49CEAD417E0A}" name="Alg"/>
    <tableColumn id="4" xr3:uid="{7F58D28B-F334-F646-832B-B841A882D87F}" name="xSol"/>
    <tableColumn id="5" xr3:uid="{E817F6DD-587A-5A46-A584-0F64A2089700}" name="numScens"/>
    <tableColumn id="6" xr3:uid="{14B0C431-B2AF-7A48-A33C-57AB717ECED0}" name="b"/>
    <tableColumn id="7" xr3:uid="{70D59219-72D5-DB48-AF44-7B35200552F3}" name="Obj"/>
    <tableColumn id="8" xr3:uid="{7838EE26-0C99-0E43-8BBB-161577677542}" name="vs xMain"/>
    <tableColumn id="9" xr3:uid="{0CBF5247-36D8-3F44-8316-4BF6F61103D7}" name="Diff Obj"/>
    <tableColumn id="10" xr3:uid="{AEEF6F3D-F2F6-5C48-A218-3B192FC8AECE}" name="Column1" dataDxfId="6">
      <calculatedColumnFormula>Table2[[#This Row],[Diff Obj]]/Table2[[#This Row],[vs xMain]]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5B2535-C11A-3643-A4B3-4B7156BBCBD3}" name="Table5" displayName="Table5" ref="A1:J9" totalsRowShown="0">
  <autoFilter ref="A1:J9" xr:uid="{E85B2535-C11A-3643-A4B3-4B7156BBCBD3}"/>
  <tableColumns count="10">
    <tableColumn id="1" xr3:uid="{59186174-D778-1840-B2D9-2FA1AA2C9E6C}" name="N"/>
    <tableColumn id="2" xr3:uid="{E044BFC0-A214-4748-84E3-C263B43CC084}" name="Ins"/>
    <tableColumn id="3" xr3:uid="{08B3A019-5E5C-FC4B-BF3B-A70F9EBC9006}" name="Alg"/>
    <tableColumn id="4" xr3:uid="{AA46279F-7B28-594D-BB06-A1BE036554CD}" name="xSol"/>
    <tableColumn id="5" xr3:uid="{23254AFF-1FDC-C34E-8ADD-2EA82EC33924}" name="numScens"/>
    <tableColumn id="6" xr3:uid="{25B8232C-E850-9643-BC8B-65BC760CE901}" name="b"/>
    <tableColumn id="7" xr3:uid="{45578CE7-C88B-3C47-ACC1-8187CF245675}" name="Obj"/>
    <tableColumn id="8" xr3:uid="{4CA52833-A132-E248-B252-D1B9491B33E8}" name="vs xMain"/>
    <tableColumn id="9" xr3:uid="{8963F879-308C-1E48-A8DB-CE5F32F5F4A4}" name="Diff Obj"/>
    <tableColumn id="10" xr3:uid="{02810FCD-B413-BB4C-8D11-5C059369A4C9}" name="Column1" dataDxfId="3">
      <calculatedColumnFormula>Table5[[#This Row],[Diff Obj]]/Table5[[#This Row],[vs xMain]]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9B31CE-A68B-E64E-961A-4365F0334BC7}" name="Table6" displayName="Table6" ref="A1:J9" totalsRowShown="0">
  <autoFilter ref="A1:J9" xr:uid="{2F9B31CE-A68B-E64E-961A-4365F0334BC7}"/>
  <tableColumns count="10">
    <tableColumn id="1" xr3:uid="{56A1CD3A-67B6-D64B-8FB0-D759DDE3CF47}" name="N"/>
    <tableColumn id="2" xr3:uid="{D2C7A482-5CDF-4042-82AB-F513F1A9FF3A}" name="Ins"/>
    <tableColumn id="3" xr3:uid="{881069BE-4796-E94A-AE72-BE2A0E68AD16}" name="Alg"/>
    <tableColumn id="4" xr3:uid="{09D5CBE6-04D4-C142-A938-513B31DF1F42}" name="xSol"/>
    <tableColumn id="5" xr3:uid="{65111C73-AB9E-8D4C-8F58-144C8FAE4F10}" name="numScens"/>
    <tableColumn id="6" xr3:uid="{A3088576-209C-144A-8542-71C9515CE740}" name="b"/>
    <tableColumn id="7" xr3:uid="{F2F8DA4A-9B6B-E843-9195-61740C3DBAFC}" name="Obj"/>
    <tableColumn id="8" xr3:uid="{B35230E5-3C91-A941-951A-1E88D9E780FA}" name="vs xMain"/>
    <tableColumn id="9" xr3:uid="{01E004AD-91F3-BB46-8F62-6D6DD453648C}" name="Diff Obj"/>
    <tableColumn id="10" xr3:uid="{7BC9A9EB-4500-0E48-829F-2305FADE7A82}" name="Column1" dataDxfId="2">
      <calculatedColumnFormula>Table6[[#This Row],[Diff Obj]]/Table6[[#This Row],[vs xMain]]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8C5EB8-B903-2E49-9C12-0F7B26FF1FFB}" name="Table3" displayName="Table3" ref="A1:J8" totalsRowShown="0">
  <autoFilter ref="A1:J8" xr:uid="{EC8C5EB8-B903-2E49-9C12-0F7B26FF1FFB}"/>
  <tableColumns count="10">
    <tableColumn id="1" xr3:uid="{2D956186-8C28-7640-A213-DECF02B80B8B}" name="N"/>
    <tableColumn id="2" xr3:uid="{4AEE4FED-1F2B-5946-9C32-0CD55966A7EF}" name="Ins"/>
    <tableColumn id="3" xr3:uid="{E6F0035C-E4DD-F54A-AF20-6748F55B9E11}" name="Alg"/>
    <tableColumn id="4" xr3:uid="{1FC82E37-FD30-5141-8526-7D591CC20858}" name="xSol"/>
    <tableColumn id="5" xr3:uid="{2A8D4380-6D0F-EF43-BC07-B1106295EC61}" name="numScens"/>
    <tableColumn id="6" xr3:uid="{72CD52A7-1FE8-6446-B82B-2EBFF1B5284C}" name="b"/>
    <tableColumn id="7" xr3:uid="{F834888B-A6E1-BB43-A907-328250EB734E}" name="Obj"/>
    <tableColumn id="8" xr3:uid="{882B9694-5865-7B43-A674-0CF2126590A3}" name="vs xMain"/>
    <tableColumn id="9" xr3:uid="{3FB51E18-0CFA-3544-8AB9-3A87B56B3146}" name="Diff Obj"/>
    <tableColumn id="10" xr3:uid="{EE7C30D0-00FC-BF4C-9363-730653E09C24}" name="Column1" dataDxfId="5">
      <calculatedColumnFormula>Table3[[#This Row],[Diff Obj]]/Table3[[#This Row],[vs xMain]]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70C3C5-8370-6C4B-AFD9-75CC79E16E62}" name="Table4" displayName="Table4" ref="A1:J8" totalsRowShown="0">
  <autoFilter ref="A1:J8" xr:uid="{C170C3C5-8370-6C4B-AFD9-75CC79E16E62}"/>
  <tableColumns count="10">
    <tableColumn id="1" xr3:uid="{0BEF4A2F-742F-F64D-9C56-5B132D7D4B0A}" name="N"/>
    <tableColumn id="2" xr3:uid="{E99CF66A-764C-4348-BD51-796E6A8A48B8}" name="Ins"/>
    <tableColumn id="3" xr3:uid="{D92C1B0E-0448-2242-B378-CD1F66D6377E}" name="Alg"/>
    <tableColumn id="4" xr3:uid="{06FC8445-0F2C-BB46-B5A6-F5C5272A7650}" name="xSol"/>
    <tableColumn id="5" xr3:uid="{3288FAAF-2BBB-3B48-A51B-B6A29F88E651}" name="numScens"/>
    <tableColumn id="6" xr3:uid="{81536C41-AE96-6D4B-9A80-1CCCD076D057}" name="b"/>
    <tableColumn id="7" xr3:uid="{F7998555-CD9E-2549-8EB1-34BE20ECBB8C}" name="Obj"/>
    <tableColumn id="8" xr3:uid="{AA94C505-ECF7-FE4E-8C96-6DB7F38DD67D}" name="vs xMain"/>
    <tableColumn id="9" xr3:uid="{A0FF92FA-2797-074A-B8BD-F114CEDC8674}" name="Diff Obj"/>
    <tableColumn id="10" xr3:uid="{BBBE95F1-33E9-EB46-86D4-21549DDA9DDA}" name="Column1" dataDxfId="4">
      <calculatedColumnFormula>Table4[[#This Row],[Diff Obj]]/Table4[[#This Row],[vs xMain]]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88856E-C851-6F42-BEDD-04D6B3FE3BAD}" name="Table8" displayName="Table8" ref="A1:J8" totalsRowShown="0">
  <autoFilter ref="A1:J8" xr:uid="{1588856E-C851-6F42-BEDD-04D6B3FE3BAD}"/>
  <tableColumns count="10">
    <tableColumn id="1" xr3:uid="{5D3C829A-B75C-EE4D-96CC-7F15BD01A025}" name="N"/>
    <tableColumn id="2" xr3:uid="{975BF14E-3D29-6443-BE25-8611676B21CE}" name="Ins"/>
    <tableColumn id="3" xr3:uid="{C6884C5F-8032-0544-A715-0F96A4E7FF24}" name="Alg"/>
    <tableColumn id="4" xr3:uid="{0AF60EB2-E515-EC4A-85D0-1373340147BB}" name="xSol"/>
    <tableColumn id="5" xr3:uid="{D0CA6595-E2AD-1147-93AF-F35838F506C8}" name="numScens"/>
    <tableColumn id="6" xr3:uid="{3DD02950-0B1F-E742-AE7F-C22AF2808799}" name="b"/>
    <tableColumn id="7" xr3:uid="{97F1B1BE-E8F1-804A-A032-315A672B5DF1}" name="Obj"/>
    <tableColumn id="8" xr3:uid="{3C37479C-72B6-DC49-B019-573EC3BF47D7}" name="vs xMain"/>
    <tableColumn id="9" xr3:uid="{BB8314A5-169F-C74E-90B2-FF0D3AE24D28}" name="Diff Obj"/>
    <tableColumn id="10" xr3:uid="{C14A691C-1C6E-EA46-95A3-9907B78BB431}" name="Column1" dataDxfId="0">
      <calculatedColumnFormula>Table8[[#This Row],[Diff Obj]]/Table8[[#This Row],[vs xMain]]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74DD80-B10D-8249-B5DE-B69CDB4A7CDB}" name="Table7" displayName="Table7" ref="A1:J8" totalsRowShown="0">
  <autoFilter ref="A1:J8" xr:uid="{2F74DD80-B10D-8249-B5DE-B69CDB4A7CDB}"/>
  <tableColumns count="10">
    <tableColumn id="1" xr3:uid="{6B398EB7-78B0-8341-BC28-6302A3B401D2}" name="N"/>
    <tableColumn id="2" xr3:uid="{63DC7427-D9F0-6148-9A3F-C21C2B7822D4}" name="Ins"/>
    <tableColumn id="3" xr3:uid="{E4D56107-2EDA-994F-B7AD-D71DBC89EECD}" name="Alg"/>
    <tableColumn id="4" xr3:uid="{85016943-06E1-A84C-AED2-9A3E0A554CA9}" name="xSol"/>
    <tableColumn id="5" xr3:uid="{D73B99B7-365A-9F47-9008-8BAF24A55F39}" name="numScens"/>
    <tableColumn id="6" xr3:uid="{F30F2D67-50F6-FD47-A2CD-9AB7AD1F2BDA}" name="b"/>
    <tableColumn id="7" xr3:uid="{4C43082C-EB2D-144D-BB9A-0218BBDA3DAF}" name="Obj"/>
    <tableColumn id="8" xr3:uid="{4401AC98-13BD-1E4A-9FDA-9EFABAED2BDC}" name="vs xMain"/>
    <tableColumn id="9" xr3:uid="{9A37AE96-5A55-274D-A7C7-51257F1EF9B0}" name="Diff Obj"/>
    <tableColumn id="10" xr3:uid="{39291B2F-3F49-804D-9245-A2847DD8ACF3}" name="Column1" dataDxfId="1">
      <calculatedColumnFormula>Table7[[#This Row],[Diff Obj]]/Table7[[#This Row],[vs xMain]]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C32C-C614-5F4C-BCC6-72EA2B10D46F}">
  <dimension ref="A1:I127"/>
  <sheetViews>
    <sheetView workbookViewId="0">
      <selection activeCell="D46" sqref="D46"/>
    </sheetView>
  </sheetViews>
  <sheetFormatPr baseColWidth="10" defaultRowHeight="16" x14ac:dyDescent="0.2"/>
  <cols>
    <col min="4" max="4" width="34.5" bestFit="1" customWidth="1"/>
  </cols>
  <sheetData>
    <row r="1" spans="1:9" x14ac:dyDescent="0.2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107</v>
      </c>
      <c r="I1" t="s">
        <v>108</v>
      </c>
    </row>
    <row r="2" spans="1:9" x14ac:dyDescent="0.2">
      <c r="A2">
        <v>30</v>
      </c>
      <c r="B2">
        <v>1</v>
      </c>
      <c r="C2" t="s">
        <v>2</v>
      </c>
      <c r="D2" t="s">
        <v>3</v>
      </c>
      <c r="E2">
        <v>100000</v>
      </c>
      <c r="F2">
        <v>10</v>
      </c>
      <c r="G2">
        <v>564.13478690584202</v>
      </c>
      <c r="H2">
        <f>VLOOKUP(A2&amp;B2,Sheet2!A:I,8,FALSE)</f>
        <v>564.13478690584202</v>
      </c>
      <c r="I2">
        <f>G2-H2</f>
        <v>0</v>
      </c>
    </row>
    <row r="3" spans="1:9" x14ac:dyDescent="0.2">
      <c r="A3">
        <v>30</v>
      </c>
      <c r="B3">
        <v>1</v>
      </c>
      <c r="C3" t="s">
        <v>0</v>
      </c>
      <c r="D3" t="s">
        <v>1</v>
      </c>
      <c r="E3">
        <v>100000</v>
      </c>
      <c r="F3">
        <v>10</v>
      </c>
      <c r="G3">
        <v>564.13478690584202</v>
      </c>
      <c r="H3">
        <f>VLOOKUP(A3&amp;B3,Sheet2!A:I,8,FALSE)</f>
        <v>564.13478690584202</v>
      </c>
      <c r="I3">
        <f t="shared" ref="I3:I66" si="0">G3-H3</f>
        <v>0</v>
      </c>
    </row>
    <row r="4" spans="1:9" x14ac:dyDescent="0.2">
      <c r="A4">
        <v>30</v>
      </c>
      <c r="B4">
        <v>1</v>
      </c>
      <c r="C4" t="s">
        <v>4</v>
      </c>
      <c r="D4" t="s">
        <v>5</v>
      </c>
      <c r="E4">
        <v>100000</v>
      </c>
      <c r="F4">
        <v>10</v>
      </c>
      <c r="G4">
        <v>564.13478690584202</v>
      </c>
      <c r="H4">
        <f>VLOOKUP(A4&amp;B4,Sheet2!A:I,8,FALSE)</f>
        <v>564.13478690584202</v>
      </c>
      <c r="I4">
        <f t="shared" si="0"/>
        <v>0</v>
      </c>
    </row>
    <row r="5" spans="1:9" x14ac:dyDescent="0.2">
      <c r="A5">
        <v>30</v>
      </c>
      <c r="B5">
        <v>1</v>
      </c>
      <c r="C5" t="s">
        <v>6</v>
      </c>
      <c r="D5" t="s">
        <v>7</v>
      </c>
      <c r="E5">
        <v>100000</v>
      </c>
      <c r="F5">
        <v>10</v>
      </c>
      <c r="G5">
        <v>564.13478690584202</v>
      </c>
      <c r="H5">
        <f>VLOOKUP(A5&amp;B5,Sheet2!A:I,8,FALSE)</f>
        <v>564.13478690584202</v>
      </c>
      <c r="I5">
        <f t="shared" si="0"/>
        <v>0</v>
      </c>
    </row>
    <row r="6" spans="1:9" x14ac:dyDescent="0.2">
      <c r="A6">
        <v>30</v>
      </c>
      <c r="B6">
        <v>1</v>
      </c>
      <c r="C6" t="s">
        <v>8</v>
      </c>
      <c r="D6" t="s">
        <v>5</v>
      </c>
      <c r="E6">
        <v>100000</v>
      </c>
      <c r="F6">
        <v>10</v>
      </c>
      <c r="G6">
        <v>564.13478690584202</v>
      </c>
      <c r="H6">
        <f>VLOOKUP(A6&amp;B6,Sheet2!A:I,8,FALSE)</f>
        <v>564.13478690584202</v>
      </c>
      <c r="I6">
        <f t="shared" si="0"/>
        <v>0</v>
      </c>
    </row>
    <row r="7" spans="1:9" x14ac:dyDescent="0.2">
      <c r="A7">
        <v>30</v>
      </c>
      <c r="B7">
        <v>2</v>
      </c>
      <c r="C7" t="s">
        <v>2</v>
      </c>
      <c r="D7" t="s">
        <v>10</v>
      </c>
      <c r="E7">
        <v>100000</v>
      </c>
      <c r="F7">
        <v>10</v>
      </c>
      <c r="G7">
        <v>463.72986594221999</v>
      </c>
      <c r="H7">
        <f>VLOOKUP(A7&amp;B7,Sheet2!A:I,8,FALSE)</f>
        <v>463.72986594221999</v>
      </c>
      <c r="I7">
        <f t="shared" si="0"/>
        <v>0</v>
      </c>
    </row>
    <row r="8" spans="1:9" x14ac:dyDescent="0.2">
      <c r="A8">
        <v>30</v>
      </c>
      <c r="B8">
        <v>2</v>
      </c>
      <c r="C8" t="s">
        <v>0</v>
      </c>
      <c r="D8" t="s">
        <v>9</v>
      </c>
      <c r="E8">
        <v>100000</v>
      </c>
      <c r="F8">
        <v>10</v>
      </c>
      <c r="G8">
        <v>463.72986594221999</v>
      </c>
      <c r="H8">
        <f>VLOOKUP(A8&amp;B8,Sheet2!A:I,8,FALSE)</f>
        <v>463.72986594221999</v>
      </c>
      <c r="I8">
        <f t="shared" si="0"/>
        <v>0</v>
      </c>
    </row>
    <row r="9" spans="1:9" x14ac:dyDescent="0.2">
      <c r="A9">
        <v>30</v>
      </c>
      <c r="B9">
        <v>2</v>
      </c>
      <c r="C9" t="s">
        <v>4</v>
      </c>
      <c r="D9" t="s">
        <v>11</v>
      </c>
      <c r="E9">
        <v>100000</v>
      </c>
      <c r="F9">
        <v>10</v>
      </c>
      <c r="G9">
        <v>463.72986594221999</v>
      </c>
      <c r="H9">
        <f>VLOOKUP(A9&amp;B9,Sheet2!A:I,8,FALSE)</f>
        <v>463.72986594221999</v>
      </c>
      <c r="I9">
        <f t="shared" si="0"/>
        <v>0</v>
      </c>
    </row>
    <row r="10" spans="1:9" x14ac:dyDescent="0.2">
      <c r="A10">
        <v>30</v>
      </c>
      <c r="B10">
        <v>2</v>
      </c>
      <c r="C10" t="s">
        <v>6</v>
      </c>
      <c r="D10" t="s">
        <v>12</v>
      </c>
      <c r="E10">
        <v>100000</v>
      </c>
      <c r="F10">
        <v>10</v>
      </c>
      <c r="G10">
        <v>463.72986594221999</v>
      </c>
      <c r="H10">
        <f>VLOOKUP(A10&amp;B10,Sheet2!A:I,8,FALSE)</f>
        <v>463.72986594221999</v>
      </c>
      <c r="I10">
        <f t="shared" si="0"/>
        <v>0</v>
      </c>
    </row>
    <row r="11" spans="1:9" x14ac:dyDescent="0.2">
      <c r="A11">
        <v>30</v>
      </c>
      <c r="B11">
        <v>2</v>
      </c>
      <c r="C11" t="s">
        <v>8</v>
      </c>
      <c r="D11" t="s">
        <v>84</v>
      </c>
      <c r="E11">
        <v>100000</v>
      </c>
      <c r="F11">
        <v>10</v>
      </c>
      <c r="G11">
        <v>463.72986594221999</v>
      </c>
      <c r="H11">
        <f>VLOOKUP(A11&amp;B11,Sheet2!A:I,8,FALSE)</f>
        <v>463.72986594221999</v>
      </c>
      <c r="I11">
        <f t="shared" si="0"/>
        <v>0</v>
      </c>
    </row>
    <row r="12" spans="1:9" x14ac:dyDescent="0.2">
      <c r="A12">
        <v>30</v>
      </c>
      <c r="B12">
        <v>3</v>
      </c>
      <c r="C12" t="s">
        <v>2</v>
      </c>
      <c r="D12" t="s">
        <v>14</v>
      </c>
      <c r="E12">
        <v>100000</v>
      </c>
      <c r="F12">
        <v>10</v>
      </c>
      <c r="G12">
        <v>275</v>
      </c>
      <c r="H12">
        <f>VLOOKUP(A12&amp;B12,Sheet2!A:I,8,FALSE)</f>
        <v>275</v>
      </c>
      <c r="I12">
        <f t="shared" si="0"/>
        <v>0</v>
      </c>
    </row>
    <row r="13" spans="1:9" x14ac:dyDescent="0.2">
      <c r="A13">
        <v>30</v>
      </c>
      <c r="B13">
        <v>3</v>
      </c>
      <c r="C13" t="s">
        <v>0</v>
      </c>
      <c r="D13" t="s">
        <v>13</v>
      </c>
      <c r="E13">
        <v>100000</v>
      </c>
      <c r="F13">
        <v>10</v>
      </c>
      <c r="G13">
        <v>275</v>
      </c>
      <c r="H13">
        <f>VLOOKUP(A13&amp;B13,Sheet2!A:I,8,FALSE)</f>
        <v>275</v>
      </c>
      <c r="I13">
        <f t="shared" si="0"/>
        <v>0</v>
      </c>
    </row>
    <row r="14" spans="1:9" x14ac:dyDescent="0.2">
      <c r="A14">
        <v>30</v>
      </c>
      <c r="B14">
        <v>3</v>
      </c>
      <c r="C14" t="s">
        <v>4</v>
      </c>
      <c r="D14" t="s">
        <v>15</v>
      </c>
      <c r="E14">
        <v>100000</v>
      </c>
      <c r="F14">
        <v>10</v>
      </c>
      <c r="G14">
        <v>275</v>
      </c>
      <c r="H14">
        <f>VLOOKUP(A14&amp;B14,Sheet2!A:I,8,FALSE)</f>
        <v>275</v>
      </c>
      <c r="I14">
        <f t="shared" si="0"/>
        <v>0</v>
      </c>
    </row>
    <row r="15" spans="1:9" x14ac:dyDescent="0.2">
      <c r="A15">
        <v>30</v>
      </c>
      <c r="B15">
        <v>3</v>
      </c>
      <c r="C15" t="s">
        <v>6</v>
      </c>
      <c r="D15" t="s">
        <v>16</v>
      </c>
      <c r="E15">
        <v>100000</v>
      </c>
      <c r="F15">
        <v>10</v>
      </c>
      <c r="G15">
        <v>275</v>
      </c>
      <c r="H15">
        <f>VLOOKUP(A15&amp;B15,Sheet2!A:I,8,FALSE)</f>
        <v>275</v>
      </c>
      <c r="I15">
        <f t="shared" si="0"/>
        <v>0</v>
      </c>
    </row>
    <row r="16" spans="1:9" x14ac:dyDescent="0.2">
      <c r="A16">
        <v>30</v>
      </c>
      <c r="B16">
        <v>3</v>
      </c>
      <c r="C16" t="s">
        <v>8</v>
      </c>
      <c r="D16" t="s">
        <v>15</v>
      </c>
      <c r="E16">
        <v>100000</v>
      </c>
      <c r="F16">
        <v>10</v>
      </c>
      <c r="G16">
        <v>275</v>
      </c>
      <c r="H16">
        <f>VLOOKUP(A16&amp;B16,Sheet2!A:I,8,FALSE)</f>
        <v>275</v>
      </c>
      <c r="I16">
        <f t="shared" si="0"/>
        <v>0</v>
      </c>
    </row>
    <row r="17" spans="1:9" x14ac:dyDescent="0.2">
      <c r="A17">
        <v>30</v>
      </c>
      <c r="B17">
        <v>4</v>
      </c>
      <c r="C17" t="s">
        <v>2</v>
      </c>
      <c r="D17" t="s">
        <v>18</v>
      </c>
      <c r="E17">
        <v>100000</v>
      </c>
      <c r="F17">
        <v>10</v>
      </c>
      <c r="G17">
        <v>397.001732613603</v>
      </c>
      <c r="H17">
        <f>VLOOKUP(A17&amp;B17,Sheet2!A:I,8,FALSE)</f>
        <v>397.001732613603</v>
      </c>
      <c r="I17">
        <f t="shared" si="0"/>
        <v>0</v>
      </c>
    </row>
    <row r="18" spans="1:9" x14ac:dyDescent="0.2">
      <c r="A18">
        <v>30</v>
      </c>
      <c r="B18">
        <v>4</v>
      </c>
      <c r="C18" t="s">
        <v>0</v>
      </c>
      <c r="D18" t="s">
        <v>17</v>
      </c>
      <c r="E18">
        <v>100000</v>
      </c>
      <c r="F18">
        <v>10</v>
      </c>
      <c r="G18">
        <v>397.001732613603</v>
      </c>
      <c r="H18">
        <f>VLOOKUP(A18&amp;B18,Sheet2!A:I,8,FALSE)</f>
        <v>397.001732613603</v>
      </c>
      <c r="I18">
        <f t="shared" si="0"/>
        <v>0</v>
      </c>
    </row>
    <row r="19" spans="1:9" x14ac:dyDescent="0.2">
      <c r="A19">
        <v>30</v>
      </c>
      <c r="B19">
        <v>4</v>
      </c>
      <c r="C19" t="s">
        <v>4</v>
      </c>
      <c r="D19" t="s">
        <v>19</v>
      </c>
      <c r="E19">
        <v>100000</v>
      </c>
      <c r="F19">
        <v>10</v>
      </c>
      <c r="G19">
        <v>397.001732613603</v>
      </c>
      <c r="H19">
        <f>VLOOKUP(A19&amp;B19,Sheet2!A:I,8,FALSE)</f>
        <v>397.001732613603</v>
      </c>
      <c r="I19">
        <f t="shared" si="0"/>
        <v>0</v>
      </c>
    </row>
    <row r="20" spans="1:9" x14ac:dyDescent="0.2">
      <c r="A20">
        <v>30</v>
      </c>
      <c r="B20">
        <v>4</v>
      </c>
      <c r="C20" t="s">
        <v>6</v>
      </c>
      <c r="D20" t="s">
        <v>20</v>
      </c>
      <c r="E20">
        <v>100000</v>
      </c>
      <c r="F20">
        <v>10</v>
      </c>
      <c r="G20">
        <v>397.001732613603</v>
      </c>
      <c r="H20">
        <f>VLOOKUP(A20&amp;B20,Sheet2!A:I,8,FALSE)</f>
        <v>397.001732613603</v>
      </c>
      <c r="I20">
        <f t="shared" si="0"/>
        <v>0</v>
      </c>
    </row>
    <row r="21" spans="1:9" x14ac:dyDescent="0.2">
      <c r="A21">
        <v>30</v>
      </c>
      <c r="B21">
        <v>4</v>
      </c>
      <c r="C21" t="s">
        <v>8</v>
      </c>
      <c r="D21" t="s">
        <v>85</v>
      </c>
      <c r="E21">
        <v>100000</v>
      </c>
      <c r="F21">
        <v>10</v>
      </c>
      <c r="G21">
        <v>397.001732613603</v>
      </c>
      <c r="H21">
        <f>VLOOKUP(A21&amp;B21,Sheet2!A:I,8,FALSE)</f>
        <v>397.001732613603</v>
      </c>
      <c r="I21">
        <f t="shared" si="0"/>
        <v>0</v>
      </c>
    </row>
    <row r="22" spans="1:9" x14ac:dyDescent="0.2">
      <c r="A22">
        <v>30</v>
      </c>
      <c r="B22">
        <v>5</v>
      </c>
      <c r="C22" t="s">
        <v>2</v>
      </c>
      <c r="D22" t="s">
        <v>22</v>
      </c>
      <c r="E22">
        <v>100000</v>
      </c>
      <c r="F22">
        <v>10</v>
      </c>
      <c r="G22">
        <v>321.39979977021602</v>
      </c>
      <c r="H22">
        <f>VLOOKUP(A22&amp;B22,Sheet2!A:I,8,FALSE)</f>
        <v>321.39979977021602</v>
      </c>
      <c r="I22">
        <f t="shared" si="0"/>
        <v>0</v>
      </c>
    </row>
    <row r="23" spans="1:9" x14ac:dyDescent="0.2">
      <c r="A23">
        <v>30</v>
      </c>
      <c r="B23">
        <v>5</v>
      </c>
      <c r="C23" t="s">
        <v>0</v>
      </c>
      <c r="D23" t="s">
        <v>21</v>
      </c>
      <c r="E23">
        <v>100000</v>
      </c>
      <c r="F23">
        <v>10</v>
      </c>
      <c r="G23">
        <v>321.39979977021602</v>
      </c>
      <c r="H23">
        <f>VLOOKUP(A23&amp;B23,Sheet2!A:I,8,FALSE)</f>
        <v>321.39979977021602</v>
      </c>
      <c r="I23">
        <f t="shared" si="0"/>
        <v>0</v>
      </c>
    </row>
    <row r="24" spans="1:9" x14ac:dyDescent="0.2">
      <c r="A24">
        <v>30</v>
      </c>
      <c r="B24">
        <v>5</v>
      </c>
      <c r="C24" t="s">
        <v>4</v>
      </c>
      <c r="D24" t="s">
        <v>23</v>
      </c>
      <c r="E24">
        <v>100000</v>
      </c>
      <c r="F24">
        <v>10</v>
      </c>
      <c r="G24">
        <v>321.39979977021602</v>
      </c>
      <c r="H24">
        <f>VLOOKUP(A24&amp;B24,Sheet2!A:I,8,FALSE)</f>
        <v>321.39979977021602</v>
      </c>
      <c r="I24">
        <f t="shared" si="0"/>
        <v>0</v>
      </c>
    </row>
    <row r="25" spans="1:9" x14ac:dyDescent="0.2">
      <c r="A25">
        <v>30</v>
      </c>
      <c r="B25">
        <v>5</v>
      </c>
      <c r="C25" t="s">
        <v>6</v>
      </c>
      <c r="D25" t="s">
        <v>24</v>
      </c>
      <c r="E25">
        <v>100000</v>
      </c>
      <c r="F25">
        <v>10</v>
      </c>
      <c r="G25">
        <v>321.39979977021602</v>
      </c>
      <c r="H25">
        <f>VLOOKUP(A25&amp;B25,Sheet2!A:I,8,FALSE)</f>
        <v>321.39979977021602</v>
      </c>
      <c r="I25">
        <f t="shared" si="0"/>
        <v>0</v>
      </c>
    </row>
    <row r="26" spans="1:9" x14ac:dyDescent="0.2">
      <c r="A26">
        <v>30</v>
      </c>
      <c r="B26">
        <v>5</v>
      </c>
      <c r="C26" t="s">
        <v>8</v>
      </c>
      <c r="D26" t="s">
        <v>23</v>
      </c>
      <c r="E26">
        <v>100000</v>
      </c>
      <c r="F26">
        <v>10</v>
      </c>
      <c r="G26">
        <v>321.39979977021602</v>
      </c>
      <c r="H26">
        <f>VLOOKUP(A26&amp;B26,Sheet2!A:I,8,FALSE)</f>
        <v>321.39979977021602</v>
      </c>
      <c r="I26">
        <f t="shared" si="0"/>
        <v>0</v>
      </c>
    </row>
    <row r="27" spans="1:9" x14ac:dyDescent="0.2">
      <c r="A27">
        <v>30</v>
      </c>
      <c r="B27">
        <v>6</v>
      </c>
      <c r="C27" t="s">
        <v>8</v>
      </c>
      <c r="D27" t="s">
        <v>86</v>
      </c>
      <c r="E27">
        <v>100000</v>
      </c>
      <c r="F27">
        <v>10</v>
      </c>
      <c r="G27">
        <v>413.71472510990799</v>
      </c>
      <c r="H27" t="e">
        <f>VLOOKUP(A27&amp;B27,Sheet2!A:I,8,FALSE)</f>
        <v>#N/A</v>
      </c>
      <c r="I27" t="e">
        <f t="shared" si="0"/>
        <v>#N/A</v>
      </c>
    </row>
    <row r="28" spans="1:9" x14ac:dyDescent="0.2">
      <c r="A28">
        <v>30</v>
      </c>
      <c r="B28">
        <v>7</v>
      </c>
      <c r="C28" t="s">
        <v>2</v>
      </c>
      <c r="D28" t="s">
        <v>26</v>
      </c>
      <c r="E28">
        <v>100000</v>
      </c>
      <c r="F28">
        <v>10</v>
      </c>
      <c r="G28">
        <v>388</v>
      </c>
      <c r="H28">
        <f>VLOOKUP(A28&amp;B28,Sheet2!A:I,8,FALSE)</f>
        <v>388</v>
      </c>
      <c r="I28">
        <f t="shared" si="0"/>
        <v>0</v>
      </c>
    </row>
    <row r="29" spans="1:9" x14ac:dyDescent="0.2">
      <c r="A29">
        <v>30</v>
      </c>
      <c r="B29">
        <v>7</v>
      </c>
      <c r="C29" t="s">
        <v>0</v>
      </c>
      <c r="D29" t="s">
        <v>25</v>
      </c>
      <c r="E29">
        <v>100000</v>
      </c>
      <c r="F29">
        <v>10</v>
      </c>
      <c r="G29">
        <v>388</v>
      </c>
      <c r="H29">
        <f>VLOOKUP(A29&amp;B29,Sheet2!A:I,8,FALSE)</f>
        <v>388</v>
      </c>
      <c r="I29">
        <f t="shared" si="0"/>
        <v>0</v>
      </c>
    </row>
    <row r="30" spans="1:9" x14ac:dyDescent="0.2">
      <c r="A30">
        <v>30</v>
      </c>
      <c r="B30">
        <v>7</v>
      </c>
      <c r="C30" t="s">
        <v>4</v>
      </c>
      <c r="D30" t="s">
        <v>27</v>
      </c>
      <c r="E30">
        <v>100000</v>
      </c>
      <c r="F30">
        <v>10</v>
      </c>
      <c r="G30">
        <v>388</v>
      </c>
      <c r="H30">
        <f>VLOOKUP(A30&amp;B30,Sheet2!A:I,8,FALSE)</f>
        <v>388</v>
      </c>
      <c r="I30">
        <f t="shared" si="0"/>
        <v>0</v>
      </c>
    </row>
    <row r="31" spans="1:9" x14ac:dyDescent="0.2">
      <c r="A31">
        <v>30</v>
      </c>
      <c r="B31">
        <v>7</v>
      </c>
      <c r="C31" t="s">
        <v>6</v>
      </c>
      <c r="D31" t="s">
        <v>27</v>
      </c>
      <c r="E31">
        <v>100000</v>
      </c>
      <c r="F31">
        <v>10</v>
      </c>
      <c r="G31">
        <v>388</v>
      </c>
      <c r="H31">
        <f>VLOOKUP(A31&amp;B31,Sheet2!A:I,8,FALSE)</f>
        <v>388</v>
      </c>
      <c r="I31">
        <f t="shared" si="0"/>
        <v>0</v>
      </c>
    </row>
    <row r="32" spans="1:9" x14ac:dyDescent="0.2">
      <c r="A32">
        <v>30</v>
      </c>
      <c r="B32">
        <v>7</v>
      </c>
      <c r="C32" t="s">
        <v>8</v>
      </c>
      <c r="D32" t="s">
        <v>27</v>
      </c>
      <c r="E32">
        <v>100000</v>
      </c>
      <c r="F32">
        <v>10</v>
      </c>
      <c r="G32">
        <v>388</v>
      </c>
      <c r="H32">
        <f>VLOOKUP(A32&amp;B32,Sheet2!A:I,8,FALSE)</f>
        <v>388</v>
      </c>
      <c r="I32">
        <f t="shared" si="0"/>
        <v>0</v>
      </c>
    </row>
    <row r="33" spans="1:9" x14ac:dyDescent="0.2">
      <c r="A33">
        <v>30</v>
      </c>
      <c r="B33">
        <v>8</v>
      </c>
      <c r="C33" t="s">
        <v>2</v>
      </c>
      <c r="D33" t="s">
        <v>29</v>
      </c>
      <c r="E33">
        <v>100000</v>
      </c>
      <c r="F33">
        <v>10</v>
      </c>
      <c r="G33">
        <v>330</v>
      </c>
      <c r="H33">
        <f>VLOOKUP(A33&amp;B33,Sheet2!A:I,8,FALSE)</f>
        <v>330</v>
      </c>
      <c r="I33">
        <f t="shared" si="0"/>
        <v>0</v>
      </c>
    </row>
    <row r="34" spans="1:9" x14ac:dyDescent="0.2">
      <c r="A34">
        <v>30</v>
      </c>
      <c r="B34">
        <v>8</v>
      </c>
      <c r="C34" t="s">
        <v>0</v>
      </c>
      <c r="D34" t="s">
        <v>28</v>
      </c>
      <c r="E34">
        <v>100000</v>
      </c>
      <c r="F34">
        <v>10</v>
      </c>
      <c r="G34">
        <v>330</v>
      </c>
      <c r="H34">
        <f>VLOOKUP(A34&amp;B34,Sheet2!A:I,8,FALSE)</f>
        <v>330</v>
      </c>
      <c r="I34">
        <f t="shared" si="0"/>
        <v>0</v>
      </c>
    </row>
    <row r="35" spans="1:9" x14ac:dyDescent="0.2">
      <c r="A35">
        <v>30</v>
      </c>
      <c r="B35">
        <v>8</v>
      </c>
      <c r="C35" t="s">
        <v>4</v>
      </c>
      <c r="D35" t="s">
        <v>30</v>
      </c>
      <c r="E35">
        <v>100000</v>
      </c>
      <c r="F35">
        <v>10</v>
      </c>
      <c r="G35">
        <v>330</v>
      </c>
      <c r="H35">
        <f>VLOOKUP(A35&amp;B35,Sheet2!A:I,8,FALSE)</f>
        <v>330</v>
      </c>
      <c r="I35">
        <f t="shared" si="0"/>
        <v>0</v>
      </c>
    </row>
    <row r="36" spans="1:9" x14ac:dyDescent="0.2">
      <c r="A36">
        <v>30</v>
      </c>
      <c r="B36">
        <v>8</v>
      </c>
      <c r="C36" t="s">
        <v>6</v>
      </c>
      <c r="D36" t="s">
        <v>30</v>
      </c>
      <c r="E36">
        <v>100000</v>
      </c>
      <c r="F36">
        <v>10</v>
      </c>
      <c r="G36">
        <v>330</v>
      </c>
      <c r="H36">
        <f>VLOOKUP(A36&amp;B36,Sheet2!A:I,8,FALSE)</f>
        <v>330</v>
      </c>
      <c r="I36">
        <f t="shared" si="0"/>
        <v>0</v>
      </c>
    </row>
    <row r="37" spans="1:9" x14ac:dyDescent="0.2">
      <c r="A37">
        <v>30</v>
      </c>
      <c r="B37">
        <v>8</v>
      </c>
      <c r="C37" t="s">
        <v>8</v>
      </c>
      <c r="D37" t="s">
        <v>30</v>
      </c>
      <c r="E37">
        <v>100000</v>
      </c>
      <c r="F37">
        <v>10</v>
      </c>
      <c r="G37">
        <v>330</v>
      </c>
      <c r="H37">
        <f>VLOOKUP(A37&amp;B37,Sheet2!A:I,8,FALSE)</f>
        <v>330</v>
      </c>
      <c r="I37">
        <f t="shared" si="0"/>
        <v>0</v>
      </c>
    </row>
    <row r="38" spans="1:9" x14ac:dyDescent="0.2">
      <c r="A38">
        <v>30</v>
      </c>
      <c r="B38">
        <v>9</v>
      </c>
      <c r="C38" t="s">
        <v>2</v>
      </c>
      <c r="D38" t="s">
        <v>32</v>
      </c>
      <c r="E38">
        <v>100000</v>
      </c>
      <c r="F38">
        <v>10</v>
      </c>
      <c r="G38">
        <v>371.009410406531</v>
      </c>
      <c r="H38">
        <f>VLOOKUP(A38&amp;B38,Sheet2!A:I,8,FALSE)</f>
        <v>371.009410406531</v>
      </c>
      <c r="I38">
        <f t="shared" si="0"/>
        <v>0</v>
      </c>
    </row>
    <row r="39" spans="1:9" x14ac:dyDescent="0.2">
      <c r="A39">
        <v>30</v>
      </c>
      <c r="B39">
        <v>9</v>
      </c>
      <c r="C39" t="s">
        <v>0</v>
      </c>
      <c r="D39" t="s">
        <v>31</v>
      </c>
      <c r="E39">
        <v>100000</v>
      </c>
      <c r="F39">
        <v>10</v>
      </c>
      <c r="G39">
        <v>371.009410406531</v>
      </c>
      <c r="H39">
        <f>VLOOKUP(A39&amp;B39,Sheet2!A:I,8,FALSE)</f>
        <v>371.009410406531</v>
      </c>
      <c r="I39">
        <f t="shared" si="0"/>
        <v>0</v>
      </c>
    </row>
    <row r="40" spans="1:9" x14ac:dyDescent="0.2">
      <c r="A40">
        <v>30</v>
      </c>
      <c r="B40">
        <v>9</v>
      </c>
      <c r="C40" t="s">
        <v>4</v>
      </c>
      <c r="D40" t="s">
        <v>33</v>
      </c>
      <c r="E40">
        <v>100000</v>
      </c>
      <c r="F40">
        <v>10</v>
      </c>
      <c r="G40">
        <v>371.009410406531</v>
      </c>
      <c r="H40">
        <f>VLOOKUP(A40&amp;B40,Sheet2!A:I,8,FALSE)</f>
        <v>371.009410406531</v>
      </c>
      <c r="I40">
        <f t="shared" si="0"/>
        <v>0</v>
      </c>
    </row>
    <row r="41" spans="1:9" x14ac:dyDescent="0.2">
      <c r="A41">
        <v>30</v>
      </c>
      <c r="B41">
        <v>9</v>
      </c>
      <c r="C41" t="s">
        <v>6</v>
      </c>
      <c r="D41" t="s">
        <v>34</v>
      </c>
      <c r="E41">
        <v>100000</v>
      </c>
      <c r="F41">
        <v>10</v>
      </c>
      <c r="G41">
        <v>371.009410406531</v>
      </c>
      <c r="H41">
        <f>VLOOKUP(A41&amp;B41,Sheet2!A:I,8,FALSE)</f>
        <v>371.009410406531</v>
      </c>
      <c r="I41">
        <f t="shared" si="0"/>
        <v>0</v>
      </c>
    </row>
    <row r="42" spans="1:9" x14ac:dyDescent="0.2">
      <c r="A42">
        <v>30</v>
      </c>
      <c r="B42">
        <v>9</v>
      </c>
      <c r="C42" t="s">
        <v>8</v>
      </c>
      <c r="D42" t="s">
        <v>33</v>
      </c>
      <c r="E42">
        <v>100000</v>
      </c>
      <c r="F42">
        <v>10</v>
      </c>
      <c r="G42">
        <v>371.009410406531</v>
      </c>
      <c r="H42">
        <f>VLOOKUP(A42&amp;B42,Sheet2!A:I,8,FALSE)</f>
        <v>371.009410406531</v>
      </c>
      <c r="I42">
        <f t="shared" si="0"/>
        <v>0</v>
      </c>
    </row>
    <row r="43" spans="1:9" x14ac:dyDescent="0.2">
      <c r="A43">
        <v>30</v>
      </c>
      <c r="B43">
        <v>10</v>
      </c>
      <c r="C43" t="s">
        <v>2</v>
      </c>
      <c r="D43" t="s">
        <v>36</v>
      </c>
      <c r="E43">
        <v>100000</v>
      </c>
      <c r="F43">
        <v>10</v>
      </c>
      <c r="G43">
        <v>688.06318745206397</v>
      </c>
      <c r="H43">
        <f>VLOOKUP(A43&amp;B43,Sheet2!A:I,8,FALSE)</f>
        <v>688.06318745206397</v>
      </c>
      <c r="I43">
        <f t="shared" si="0"/>
        <v>0</v>
      </c>
    </row>
    <row r="44" spans="1:9" x14ac:dyDescent="0.2">
      <c r="A44">
        <v>30</v>
      </c>
      <c r="B44">
        <v>10</v>
      </c>
      <c r="C44" t="s">
        <v>0</v>
      </c>
      <c r="D44" t="s">
        <v>35</v>
      </c>
      <c r="E44">
        <v>100000</v>
      </c>
      <c r="F44">
        <v>10</v>
      </c>
      <c r="G44">
        <v>688.06318745206397</v>
      </c>
      <c r="H44">
        <f>VLOOKUP(A44&amp;B44,Sheet2!A:I,8,FALSE)</f>
        <v>688.06318745206397</v>
      </c>
      <c r="I44">
        <f t="shared" si="0"/>
        <v>0</v>
      </c>
    </row>
    <row r="45" spans="1:9" x14ac:dyDescent="0.2">
      <c r="A45">
        <v>30</v>
      </c>
      <c r="B45">
        <v>10</v>
      </c>
      <c r="C45" t="s">
        <v>4</v>
      </c>
      <c r="D45" t="s">
        <v>37</v>
      </c>
      <c r="E45">
        <v>100000</v>
      </c>
      <c r="F45">
        <v>10</v>
      </c>
      <c r="G45">
        <v>688.06318745206397</v>
      </c>
      <c r="H45">
        <f>VLOOKUP(A45&amp;B45,Sheet2!A:I,8,FALSE)</f>
        <v>688.06318745206397</v>
      </c>
      <c r="I45">
        <f t="shared" si="0"/>
        <v>0</v>
      </c>
    </row>
    <row r="46" spans="1:9" x14ac:dyDescent="0.2">
      <c r="A46">
        <v>30</v>
      </c>
      <c r="B46">
        <v>10</v>
      </c>
      <c r="C46" t="s">
        <v>6</v>
      </c>
      <c r="D46" t="s">
        <v>37</v>
      </c>
      <c r="E46">
        <v>100000</v>
      </c>
      <c r="F46">
        <v>10</v>
      </c>
      <c r="G46">
        <v>688.06318745206397</v>
      </c>
      <c r="H46">
        <f>VLOOKUP(A46&amp;B46,Sheet2!A:I,8,FALSE)</f>
        <v>688.06318745206397</v>
      </c>
      <c r="I46">
        <f t="shared" si="0"/>
        <v>0</v>
      </c>
    </row>
    <row r="47" spans="1:9" x14ac:dyDescent="0.2">
      <c r="A47">
        <v>30</v>
      </c>
      <c r="B47">
        <v>10</v>
      </c>
      <c r="C47" t="s">
        <v>8</v>
      </c>
      <c r="D47" t="s">
        <v>37</v>
      </c>
      <c r="E47">
        <v>100000</v>
      </c>
      <c r="F47">
        <v>10</v>
      </c>
      <c r="G47">
        <v>688.06318745206397</v>
      </c>
      <c r="H47">
        <f>VLOOKUP(A47&amp;B47,Sheet2!A:I,8,FALSE)</f>
        <v>688.06318745206397</v>
      </c>
      <c r="I47">
        <f t="shared" si="0"/>
        <v>0</v>
      </c>
    </row>
    <row r="48" spans="1:9" x14ac:dyDescent="0.2">
      <c r="A48">
        <v>40</v>
      </c>
      <c r="B48">
        <v>1</v>
      </c>
      <c r="C48" t="s">
        <v>2</v>
      </c>
      <c r="D48" t="s">
        <v>38</v>
      </c>
      <c r="E48">
        <v>100000</v>
      </c>
      <c r="F48">
        <v>10</v>
      </c>
      <c r="G48">
        <v>509.23269528755299</v>
      </c>
      <c r="H48">
        <f>VLOOKUP(A48&amp;B48,Sheet2!A:I,8,FALSE)</f>
        <v>509.23269528755299</v>
      </c>
      <c r="I48">
        <f t="shared" si="0"/>
        <v>0</v>
      </c>
    </row>
    <row r="49" spans="1:9" x14ac:dyDescent="0.2">
      <c r="A49">
        <v>40</v>
      </c>
      <c r="B49">
        <v>1</v>
      </c>
      <c r="C49" t="s">
        <v>0</v>
      </c>
      <c r="D49" t="s">
        <v>38</v>
      </c>
      <c r="E49">
        <v>100000</v>
      </c>
      <c r="F49">
        <v>10</v>
      </c>
      <c r="G49">
        <v>509.23269528755299</v>
      </c>
      <c r="H49">
        <f>VLOOKUP(A49&amp;B49,Sheet2!A:I,8,FALSE)</f>
        <v>509.23269528755299</v>
      </c>
      <c r="I49">
        <f t="shared" si="0"/>
        <v>0</v>
      </c>
    </row>
    <row r="50" spans="1:9" x14ac:dyDescent="0.2">
      <c r="A50">
        <v>40</v>
      </c>
      <c r="B50">
        <v>1</v>
      </c>
      <c r="C50" t="s">
        <v>4</v>
      </c>
      <c r="D50" t="s">
        <v>39</v>
      </c>
      <c r="E50">
        <v>100000</v>
      </c>
      <c r="F50">
        <v>10</v>
      </c>
      <c r="G50">
        <v>509.23269528755299</v>
      </c>
      <c r="H50">
        <f>VLOOKUP(A50&amp;B50,Sheet2!A:I,8,FALSE)</f>
        <v>509.23269528755299</v>
      </c>
      <c r="I50">
        <f t="shared" si="0"/>
        <v>0</v>
      </c>
    </row>
    <row r="51" spans="1:9" x14ac:dyDescent="0.2">
      <c r="A51">
        <v>40</v>
      </c>
      <c r="B51">
        <v>1</v>
      </c>
      <c r="C51" t="s">
        <v>6</v>
      </c>
      <c r="D51" t="s">
        <v>39</v>
      </c>
      <c r="E51">
        <v>100000</v>
      </c>
      <c r="F51">
        <v>10</v>
      </c>
      <c r="G51">
        <v>509.23269528755299</v>
      </c>
      <c r="H51">
        <f>VLOOKUP(A51&amp;B51,Sheet2!A:I,8,FALSE)</f>
        <v>509.23269528755299</v>
      </c>
      <c r="I51">
        <f t="shared" si="0"/>
        <v>0</v>
      </c>
    </row>
    <row r="52" spans="1:9" x14ac:dyDescent="0.2">
      <c r="A52">
        <v>40</v>
      </c>
      <c r="B52">
        <v>1</v>
      </c>
      <c r="C52" t="s">
        <v>8</v>
      </c>
      <c r="D52" t="s">
        <v>39</v>
      </c>
      <c r="E52">
        <v>100000</v>
      </c>
      <c r="F52">
        <v>10</v>
      </c>
      <c r="G52">
        <v>509.23269528755299</v>
      </c>
      <c r="H52">
        <f>VLOOKUP(A52&amp;B52,Sheet2!A:I,8,FALSE)</f>
        <v>509.23269528755299</v>
      </c>
      <c r="I52">
        <f t="shared" si="0"/>
        <v>0</v>
      </c>
    </row>
    <row r="53" spans="1:9" x14ac:dyDescent="0.2">
      <c r="A53">
        <v>40</v>
      </c>
      <c r="B53">
        <v>2</v>
      </c>
      <c r="C53" t="s">
        <v>2</v>
      </c>
      <c r="D53" t="s">
        <v>40</v>
      </c>
      <c r="E53">
        <v>100000</v>
      </c>
      <c r="F53">
        <v>10</v>
      </c>
      <c r="G53">
        <v>496.954405994441</v>
      </c>
      <c r="H53">
        <f>VLOOKUP(A53&amp;B53,Sheet2!A:I,8,FALSE)</f>
        <v>496.954405994441</v>
      </c>
      <c r="I53">
        <f t="shared" si="0"/>
        <v>0</v>
      </c>
    </row>
    <row r="54" spans="1:9" x14ac:dyDescent="0.2">
      <c r="A54">
        <v>40</v>
      </c>
      <c r="B54">
        <v>2</v>
      </c>
      <c r="C54" t="s">
        <v>0</v>
      </c>
      <c r="D54" t="s">
        <v>40</v>
      </c>
      <c r="E54">
        <v>100000</v>
      </c>
      <c r="F54">
        <v>10</v>
      </c>
      <c r="G54">
        <v>496.954405994441</v>
      </c>
      <c r="H54">
        <f>VLOOKUP(A54&amp;B54,Sheet2!A:I,8,FALSE)</f>
        <v>496.954405994441</v>
      </c>
      <c r="I54">
        <f t="shared" si="0"/>
        <v>0</v>
      </c>
    </row>
    <row r="55" spans="1:9" x14ac:dyDescent="0.2">
      <c r="A55">
        <v>40</v>
      </c>
      <c r="B55">
        <v>2</v>
      </c>
      <c r="C55" t="s">
        <v>4</v>
      </c>
      <c r="D55" t="s">
        <v>41</v>
      </c>
      <c r="E55">
        <v>100000</v>
      </c>
      <c r="F55">
        <v>10</v>
      </c>
      <c r="G55">
        <v>496.954405994441</v>
      </c>
      <c r="H55">
        <f>VLOOKUP(A55&amp;B55,Sheet2!A:I,8,FALSE)</f>
        <v>496.954405994441</v>
      </c>
      <c r="I55">
        <f t="shared" si="0"/>
        <v>0</v>
      </c>
    </row>
    <row r="56" spans="1:9" x14ac:dyDescent="0.2">
      <c r="A56">
        <v>40</v>
      </c>
      <c r="B56">
        <v>2</v>
      </c>
      <c r="C56" t="s">
        <v>6</v>
      </c>
      <c r="D56" t="s">
        <v>41</v>
      </c>
      <c r="E56">
        <v>100000</v>
      </c>
      <c r="F56">
        <v>10</v>
      </c>
      <c r="G56">
        <v>496.954405994441</v>
      </c>
      <c r="H56">
        <f>VLOOKUP(A56&amp;B56,Sheet2!A:I,8,FALSE)</f>
        <v>496.954405994441</v>
      </c>
      <c r="I56">
        <f t="shared" si="0"/>
        <v>0</v>
      </c>
    </row>
    <row r="57" spans="1:9" x14ac:dyDescent="0.2">
      <c r="A57">
        <v>40</v>
      </c>
      <c r="B57">
        <v>2</v>
      </c>
      <c r="C57" t="s">
        <v>8</v>
      </c>
      <c r="D57" t="s">
        <v>41</v>
      </c>
      <c r="E57">
        <v>100000</v>
      </c>
      <c r="F57">
        <v>10</v>
      </c>
      <c r="G57">
        <v>496.954405994441</v>
      </c>
      <c r="H57">
        <f>VLOOKUP(A57&amp;B57,Sheet2!A:I,8,FALSE)</f>
        <v>496.954405994441</v>
      </c>
      <c r="I57">
        <f t="shared" si="0"/>
        <v>0</v>
      </c>
    </row>
    <row r="58" spans="1:9" x14ac:dyDescent="0.2">
      <c r="A58">
        <v>40</v>
      </c>
      <c r="B58">
        <v>3</v>
      </c>
      <c r="C58" t="s">
        <v>2</v>
      </c>
      <c r="D58" t="s">
        <v>42</v>
      </c>
      <c r="E58">
        <v>100000</v>
      </c>
      <c r="F58">
        <v>10</v>
      </c>
      <c r="G58">
        <v>454.51928028419798</v>
      </c>
      <c r="H58">
        <f>VLOOKUP(A58&amp;B58,Sheet2!A:I,8,FALSE)</f>
        <v>454.51928028419798</v>
      </c>
      <c r="I58">
        <f t="shared" si="0"/>
        <v>0</v>
      </c>
    </row>
    <row r="59" spans="1:9" x14ac:dyDescent="0.2">
      <c r="A59">
        <v>40</v>
      </c>
      <c r="B59">
        <v>3</v>
      </c>
      <c r="C59" t="s">
        <v>0</v>
      </c>
      <c r="D59" t="s">
        <v>42</v>
      </c>
      <c r="E59">
        <v>100000</v>
      </c>
      <c r="F59">
        <v>10</v>
      </c>
      <c r="G59">
        <v>454.51928028419798</v>
      </c>
      <c r="H59">
        <f>VLOOKUP(A59&amp;B59,Sheet2!A:I,8,FALSE)</f>
        <v>454.51928028419798</v>
      </c>
      <c r="I59">
        <f t="shared" si="0"/>
        <v>0</v>
      </c>
    </row>
    <row r="60" spans="1:9" x14ac:dyDescent="0.2">
      <c r="A60">
        <v>40</v>
      </c>
      <c r="B60">
        <v>3</v>
      </c>
      <c r="C60" t="s">
        <v>4</v>
      </c>
      <c r="D60" t="s">
        <v>43</v>
      </c>
      <c r="E60">
        <v>100000</v>
      </c>
      <c r="F60">
        <v>10</v>
      </c>
      <c r="G60">
        <v>454.51928028419798</v>
      </c>
      <c r="H60">
        <f>VLOOKUP(A60&amp;B60,Sheet2!A:I,8,FALSE)</f>
        <v>454.51928028419798</v>
      </c>
      <c r="I60">
        <f t="shared" si="0"/>
        <v>0</v>
      </c>
    </row>
    <row r="61" spans="1:9" x14ac:dyDescent="0.2">
      <c r="A61">
        <v>40</v>
      </c>
      <c r="B61">
        <v>3</v>
      </c>
      <c r="C61" t="s">
        <v>6</v>
      </c>
      <c r="D61" t="s">
        <v>43</v>
      </c>
      <c r="E61">
        <v>100000</v>
      </c>
      <c r="F61">
        <v>10</v>
      </c>
      <c r="G61">
        <v>454.51928028419798</v>
      </c>
      <c r="H61">
        <f>VLOOKUP(A61&amp;B61,Sheet2!A:I,8,FALSE)</f>
        <v>454.51928028419798</v>
      </c>
      <c r="I61">
        <f t="shared" si="0"/>
        <v>0</v>
      </c>
    </row>
    <row r="62" spans="1:9" x14ac:dyDescent="0.2">
      <c r="A62">
        <v>40</v>
      </c>
      <c r="B62">
        <v>3</v>
      </c>
      <c r="C62" t="s">
        <v>8</v>
      </c>
      <c r="D62" t="s">
        <v>43</v>
      </c>
      <c r="E62">
        <v>100000</v>
      </c>
      <c r="F62">
        <v>10</v>
      </c>
      <c r="G62">
        <v>454.51928028419798</v>
      </c>
      <c r="H62">
        <f>VLOOKUP(A62&amp;B62,Sheet2!A:I,8,FALSE)</f>
        <v>454.51928028419798</v>
      </c>
      <c r="I62">
        <f t="shared" si="0"/>
        <v>0</v>
      </c>
    </row>
    <row r="63" spans="1:9" x14ac:dyDescent="0.2">
      <c r="A63">
        <v>40</v>
      </c>
      <c r="B63">
        <v>4</v>
      </c>
      <c r="C63" t="s">
        <v>8</v>
      </c>
      <c r="D63" t="s">
        <v>87</v>
      </c>
      <c r="E63">
        <v>100000</v>
      </c>
      <c r="F63">
        <v>10</v>
      </c>
      <c r="G63">
        <v>334.15577775492397</v>
      </c>
      <c r="H63" t="e">
        <f>VLOOKUP(A63&amp;B63,Sheet2!A:I,8,FALSE)</f>
        <v>#N/A</v>
      </c>
      <c r="I63" t="e">
        <f t="shared" si="0"/>
        <v>#N/A</v>
      </c>
    </row>
    <row r="64" spans="1:9" x14ac:dyDescent="0.2">
      <c r="A64">
        <v>40</v>
      </c>
      <c r="B64">
        <v>5</v>
      </c>
      <c r="C64" t="s">
        <v>8</v>
      </c>
      <c r="D64" t="s">
        <v>88</v>
      </c>
      <c r="E64">
        <v>100000</v>
      </c>
      <c r="F64">
        <v>10</v>
      </c>
      <c r="G64">
        <v>387.39568202511902</v>
      </c>
      <c r="H64" t="e">
        <f>VLOOKUP(A64&amp;B64,Sheet2!A:I,8,FALSE)</f>
        <v>#N/A</v>
      </c>
      <c r="I64" t="e">
        <f t="shared" si="0"/>
        <v>#N/A</v>
      </c>
    </row>
    <row r="65" spans="1:9" x14ac:dyDescent="0.2">
      <c r="A65">
        <v>40</v>
      </c>
      <c r="B65">
        <v>6</v>
      </c>
      <c r="C65" t="s">
        <v>2</v>
      </c>
      <c r="D65" t="s">
        <v>45</v>
      </c>
      <c r="E65">
        <v>100000</v>
      </c>
      <c r="F65">
        <v>10</v>
      </c>
      <c r="G65">
        <v>264.17242840239601</v>
      </c>
      <c r="H65">
        <f>VLOOKUP(A65&amp;B65,Sheet2!A:I,8,FALSE)</f>
        <v>264.17242840239601</v>
      </c>
      <c r="I65">
        <f t="shared" si="0"/>
        <v>0</v>
      </c>
    </row>
    <row r="66" spans="1:9" x14ac:dyDescent="0.2">
      <c r="A66">
        <v>40</v>
      </c>
      <c r="B66">
        <v>6</v>
      </c>
      <c r="C66" t="s">
        <v>0</v>
      </c>
      <c r="D66" t="s">
        <v>44</v>
      </c>
      <c r="E66">
        <v>100000</v>
      </c>
      <c r="F66">
        <v>10</v>
      </c>
      <c r="G66">
        <v>264.17242840239601</v>
      </c>
      <c r="H66">
        <f>VLOOKUP(A66&amp;B66,Sheet2!A:I,8,FALSE)</f>
        <v>264.17242840239601</v>
      </c>
      <c r="I66">
        <f t="shared" si="0"/>
        <v>0</v>
      </c>
    </row>
    <row r="67" spans="1:9" x14ac:dyDescent="0.2">
      <c r="A67">
        <v>40</v>
      </c>
      <c r="B67">
        <v>6</v>
      </c>
      <c r="C67" t="s">
        <v>4</v>
      </c>
      <c r="D67" t="s">
        <v>46</v>
      </c>
      <c r="E67">
        <v>100000</v>
      </c>
      <c r="F67">
        <v>10</v>
      </c>
      <c r="G67">
        <v>264.13810367492403</v>
      </c>
      <c r="H67">
        <f>VLOOKUP(A67&amp;B67,Sheet2!A:I,8,FALSE)</f>
        <v>264.17242840239601</v>
      </c>
      <c r="I67">
        <f t="shared" ref="I67:I127" si="1">G67-H67</f>
        <v>-3.4324727471982897E-2</v>
      </c>
    </row>
    <row r="68" spans="1:9" x14ac:dyDescent="0.2">
      <c r="A68">
        <v>40</v>
      </c>
      <c r="B68">
        <v>6</v>
      </c>
      <c r="C68" t="s">
        <v>6</v>
      </c>
      <c r="D68" t="s">
        <v>47</v>
      </c>
      <c r="E68">
        <v>100000</v>
      </c>
      <c r="F68">
        <v>10</v>
      </c>
      <c r="G68">
        <v>264.17242840239601</v>
      </c>
      <c r="H68">
        <f>VLOOKUP(A68&amp;B68,Sheet2!A:I,8,FALSE)</f>
        <v>264.17242840239601</v>
      </c>
      <c r="I68">
        <f t="shared" si="1"/>
        <v>0</v>
      </c>
    </row>
    <row r="69" spans="1:9" x14ac:dyDescent="0.2">
      <c r="A69">
        <v>40</v>
      </c>
      <c r="B69">
        <v>6</v>
      </c>
      <c r="C69" t="s">
        <v>8</v>
      </c>
      <c r="D69" t="s">
        <v>89</v>
      </c>
      <c r="E69">
        <v>100000</v>
      </c>
      <c r="F69">
        <v>10</v>
      </c>
      <c r="G69">
        <v>264.09418410242102</v>
      </c>
      <c r="H69">
        <f>VLOOKUP(A69&amp;B69,Sheet2!A:I,8,FALSE)</f>
        <v>264.17242840239601</v>
      </c>
      <c r="I69">
        <f t="shared" si="1"/>
        <v>-7.8244299974983278E-2</v>
      </c>
    </row>
    <row r="70" spans="1:9" x14ac:dyDescent="0.2">
      <c r="A70">
        <v>40</v>
      </c>
      <c r="B70">
        <v>7</v>
      </c>
      <c r="C70" t="s">
        <v>2</v>
      </c>
      <c r="D70" t="s">
        <v>49</v>
      </c>
      <c r="E70">
        <v>100000</v>
      </c>
      <c r="F70">
        <v>10</v>
      </c>
      <c r="G70">
        <v>168</v>
      </c>
      <c r="H70">
        <f>VLOOKUP(A70&amp;B70,Sheet2!A:I,8,FALSE)</f>
        <v>168</v>
      </c>
      <c r="I70">
        <f t="shared" si="1"/>
        <v>0</v>
      </c>
    </row>
    <row r="71" spans="1:9" x14ac:dyDescent="0.2">
      <c r="A71">
        <v>40</v>
      </c>
      <c r="B71">
        <v>7</v>
      </c>
      <c r="C71" t="s">
        <v>0</v>
      </c>
      <c r="D71" t="s">
        <v>48</v>
      </c>
      <c r="E71">
        <v>100000</v>
      </c>
      <c r="F71">
        <v>10</v>
      </c>
      <c r="G71">
        <v>168</v>
      </c>
      <c r="H71">
        <f>VLOOKUP(A71&amp;B71,Sheet2!A:I,8,FALSE)</f>
        <v>168</v>
      </c>
      <c r="I71">
        <f t="shared" si="1"/>
        <v>0</v>
      </c>
    </row>
    <row r="72" spans="1:9" x14ac:dyDescent="0.2">
      <c r="A72">
        <v>40</v>
      </c>
      <c r="B72">
        <v>7</v>
      </c>
      <c r="C72" t="s">
        <v>4</v>
      </c>
      <c r="D72" t="s">
        <v>50</v>
      </c>
      <c r="E72">
        <v>100000</v>
      </c>
      <c r="F72">
        <v>10</v>
      </c>
      <c r="G72">
        <v>168</v>
      </c>
      <c r="H72">
        <f>VLOOKUP(A72&amp;B72,Sheet2!A:I,8,FALSE)</f>
        <v>168</v>
      </c>
      <c r="I72">
        <f t="shared" si="1"/>
        <v>0</v>
      </c>
    </row>
    <row r="73" spans="1:9" x14ac:dyDescent="0.2">
      <c r="A73">
        <v>40</v>
      </c>
      <c r="B73">
        <v>7</v>
      </c>
      <c r="C73" t="s">
        <v>6</v>
      </c>
      <c r="D73" t="s">
        <v>50</v>
      </c>
      <c r="E73">
        <v>100000</v>
      </c>
      <c r="F73">
        <v>10</v>
      </c>
      <c r="G73">
        <v>168</v>
      </c>
      <c r="H73">
        <f>VLOOKUP(A73&amp;B73,Sheet2!A:I,8,FALSE)</f>
        <v>168</v>
      </c>
      <c r="I73">
        <f t="shared" si="1"/>
        <v>0</v>
      </c>
    </row>
    <row r="74" spans="1:9" x14ac:dyDescent="0.2">
      <c r="A74">
        <v>40</v>
      </c>
      <c r="B74">
        <v>7</v>
      </c>
      <c r="C74" t="s">
        <v>8</v>
      </c>
      <c r="D74" t="s">
        <v>50</v>
      </c>
      <c r="E74">
        <v>100000</v>
      </c>
      <c r="F74">
        <v>10</v>
      </c>
      <c r="G74">
        <v>168</v>
      </c>
      <c r="H74">
        <f>VLOOKUP(A74&amp;B74,Sheet2!A:I,8,FALSE)</f>
        <v>168</v>
      </c>
      <c r="I74">
        <f t="shared" si="1"/>
        <v>0</v>
      </c>
    </row>
    <row r="75" spans="1:9" x14ac:dyDescent="0.2">
      <c r="A75">
        <v>40</v>
      </c>
      <c r="B75">
        <v>8</v>
      </c>
      <c r="C75" t="s">
        <v>2</v>
      </c>
      <c r="D75" t="s">
        <v>52</v>
      </c>
      <c r="E75">
        <v>100000</v>
      </c>
      <c r="F75">
        <v>10</v>
      </c>
      <c r="G75">
        <v>584.99820484905604</v>
      </c>
      <c r="H75">
        <f>VLOOKUP(A75&amp;B75,Sheet2!A:I,8,FALSE)</f>
        <v>584.99820484905604</v>
      </c>
      <c r="I75">
        <f t="shared" si="1"/>
        <v>0</v>
      </c>
    </row>
    <row r="76" spans="1:9" x14ac:dyDescent="0.2">
      <c r="A76">
        <v>40</v>
      </c>
      <c r="B76">
        <v>8</v>
      </c>
      <c r="C76" t="s">
        <v>0</v>
      </c>
      <c r="D76" t="s">
        <v>51</v>
      </c>
      <c r="E76">
        <v>100000</v>
      </c>
      <c r="F76">
        <v>10</v>
      </c>
      <c r="G76">
        <v>584.99820484905604</v>
      </c>
      <c r="H76">
        <f>VLOOKUP(A76&amp;B76,Sheet2!A:I,8,FALSE)</f>
        <v>584.99820484905604</v>
      </c>
      <c r="I76">
        <f t="shared" si="1"/>
        <v>0</v>
      </c>
    </row>
    <row r="77" spans="1:9" x14ac:dyDescent="0.2">
      <c r="A77">
        <v>40</v>
      </c>
      <c r="B77">
        <v>8</v>
      </c>
      <c r="C77" t="s">
        <v>4</v>
      </c>
      <c r="D77" t="s">
        <v>53</v>
      </c>
      <c r="E77">
        <v>100000</v>
      </c>
      <c r="F77">
        <v>10</v>
      </c>
      <c r="G77">
        <v>584.99393359201804</v>
      </c>
      <c r="H77">
        <f>VLOOKUP(A77&amp;B77,Sheet2!A:I,8,FALSE)</f>
        <v>584.99820484905604</v>
      </c>
      <c r="I77">
        <f t="shared" si="1"/>
        <v>-4.2712570379990211E-3</v>
      </c>
    </row>
    <row r="78" spans="1:9" x14ac:dyDescent="0.2">
      <c r="A78">
        <v>40</v>
      </c>
      <c r="B78">
        <v>8</v>
      </c>
      <c r="C78" t="s">
        <v>6</v>
      </c>
      <c r="D78" t="s">
        <v>53</v>
      </c>
      <c r="E78">
        <v>100000</v>
      </c>
      <c r="F78">
        <v>10</v>
      </c>
      <c r="G78">
        <v>584.99393359201804</v>
      </c>
      <c r="H78">
        <f>VLOOKUP(A78&amp;B78,Sheet2!A:I,8,FALSE)</f>
        <v>584.99820484905604</v>
      </c>
      <c r="I78">
        <f t="shared" si="1"/>
        <v>-4.2712570379990211E-3</v>
      </c>
    </row>
    <row r="79" spans="1:9" x14ac:dyDescent="0.2">
      <c r="A79">
        <v>40</v>
      </c>
      <c r="B79">
        <v>8</v>
      </c>
      <c r="C79" t="s">
        <v>8</v>
      </c>
      <c r="D79" t="s">
        <v>90</v>
      </c>
      <c r="E79">
        <v>100000</v>
      </c>
      <c r="F79">
        <v>10</v>
      </c>
      <c r="G79">
        <v>584.99393359201804</v>
      </c>
      <c r="H79">
        <f>VLOOKUP(A79&amp;B79,Sheet2!A:I,8,FALSE)</f>
        <v>584.99820484905604</v>
      </c>
      <c r="I79">
        <f t="shared" si="1"/>
        <v>-4.2712570379990211E-3</v>
      </c>
    </row>
    <row r="80" spans="1:9" x14ac:dyDescent="0.2">
      <c r="A80">
        <v>40</v>
      </c>
      <c r="B80">
        <v>9</v>
      </c>
      <c r="C80" t="s">
        <v>2</v>
      </c>
      <c r="D80" t="s">
        <v>54</v>
      </c>
      <c r="E80">
        <v>100000</v>
      </c>
      <c r="F80">
        <v>10</v>
      </c>
      <c r="G80">
        <v>458.16802167440301</v>
      </c>
      <c r="H80">
        <f>VLOOKUP(A80&amp;B80,Sheet2!A:I,8,FALSE)</f>
        <v>458.16802167440301</v>
      </c>
      <c r="I80">
        <f t="shared" si="1"/>
        <v>0</v>
      </c>
    </row>
    <row r="81" spans="1:9" x14ac:dyDescent="0.2">
      <c r="A81">
        <v>40</v>
      </c>
      <c r="B81">
        <v>9</v>
      </c>
      <c r="C81" t="s">
        <v>0</v>
      </c>
      <c r="D81" t="s">
        <v>54</v>
      </c>
      <c r="E81">
        <v>100000</v>
      </c>
      <c r="F81">
        <v>10</v>
      </c>
      <c r="G81">
        <v>458.16802167440301</v>
      </c>
      <c r="H81">
        <f>VLOOKUP(A81&amp;B81,Sheet2!A:I,8,FALSE)</f>
        <v>458.16802167440301</v>
      </c>
      <c r="I81">
        <f t="shared" si="1"/>
        <v>0</v>
      </c>
    </row>
    <row r="82" spans="1:9" x14ac:dyDescent="0.2">
      <c r="A82">
        <v>40</v>
      </c>
      <c r="B82">
        <v>9</v>
      </c>
      <c r="C82" t="s">
        <v>4</v>
      </c>
      <c r="D82" t="s">
        <v>55</v>
      </c>
      <c r="E82">
        <v>100000</v>
      </c>
      <c r="F82">
        <v>10</v>
      </c>
      <c r="G82">
        <v>458.16802167440301</v>
      </c>
      <c r="H82">
        <f>VLOOKUP(A82&amp;B82,Sheet2!A:I,8,FALSE)</f>
        <v>458.16802167440301</v>
      </c>
      <c r="I82">
        <f t="shared" si="1"/>
        <v>0</v>
      </c>
    </row>
    <row r="83" spans="1:9" x14ac:dyDescent="0.2">
      <c r="A83">
        <v>40</v>
      </c>
      <c r="B83">
        <v>9</v>
      </c>
      <c r="C83" t="s">
        <v>6</v>
      </c>
      <c r="D83" t="s">
        <v>55</v>
      </c>
      <c r="E83">
        <v>100000</v>
      </c>
      <c r="F83">
        <v>10</v>
      </c>
      <c r="G83">
        <v>458.16802167440301</v>
      </c>
      <c r="H83">
        <f>VLOOKUP(A83&amp;B83,Sheet2!A:I,8,FALSE)</f>
        <v>458.16802167440301</v>
      </c>
      <c r="I83">
        <f t="shared" si="1"/>
        <v>0</v>
      </c>
    </row>
    <row r="84" spans="1:9" x14ac:dyDescent="0.2">
      <c r="A84">
        <v>40</v>
      </c>
      <c r="B84">
        <v>9</v>
      </c>
      <c r="C84" t="s">
        <v>8</v>
      </c>
      <c r="D84" t="s">
        <v>91</v>
      </c>
      <c r="E84">
        <v>100000</v>
      </c>
      <c r="F84">
        <v>10</v>
      </c>
      <c r="G84">
        <v>458.16802167440301</v>
      </c>
      <c r="H84">
        <f>VLOOKUP(A84&amp;B84,Sheet2!A:I,8,FALSE)</f>
        <v>458.16802167440301</v>
      </c>
      <c r="I84">
        <f t="shared" si="1"/>
        <v>0</v>
      </c>
    </row>
    <row r="85" spans="1:9" x14ac:dyDescent="0.2">
      <c r="A85">
        <v>40</v>
      </c>
      <c r="B85">
        <v>10</v>
      </c>
      <c r="C85" t="s">
        <v>2</v>
      </c>
      <c r="D85" t="s">
        <v>56</v>
      </c>
      <c r="E85">
        <v>100000</v>
      </c>
      <c r="F85">
        <v>10</v>
      </c>
      <c r="G85">
        <v>486.51259095187299</v>
      </c>
      <c r="H85">
        <f>VLOOKUP(A85&amp;B85,Sheet2!A:I,8,FALSE)</f>
        <v>486.51259095187299</v>
      </c>
      <c r="I85">
        <f t="shared" si="1"/>
        <v>0</v>
      </c>
    </row>
    <row r="86" spans="1:9" x14ac:dyDescent="0.2">
      <c r="A86">
        <v>40</v>
      </c>
      <c r="B86">
        <v>10</v>
      </c>
      <c r="C86" t="s">
        <v>0</v>
      </c>
      <c r="D86" t="s">
        <v>56</v>
      </c>
      <c r="E86">
        <v>100000</v>
      </c>
      <c r="F86">
        <v>10</v>
      </c>
      <c r="G86">
        <v>486.51259095187299</v>
      </c>
      <c r="H86">
        <f>VLOOKUP(A86&amp;B86,Sheet2!A:I,8,FALSE)</f>
        <v>486.51259095187299</v>
      </c>
      <c r="I86">
        <f t="shared" si="1"/>
        <v>0</v>
      </c>
    </row>
    <row r="87" spans="1:9" x14ac:dyDescent="0.2">
      <c r="A87">
        <v>40</v>
      </c>
      <c r="B87">
        <v>10</v>
      </c>
      <c r="C87" t="s">
        <v>4</v>
      </c>
      <c r="D87" t="s">
        <v>57</v>
      </c>
      <c r="E87">
        <v>100000</v>
      </c>
      <c r="F87">
        <v>10</v>
      </c>
      <c r="G87">
        <v>486.51259095187299</v>
      </c>
      <c r="H87">
        <f>VLOOKUP(A87&amp;B87,Sheet2!A:I,8,FALSE)</f>
        <v>486.51259095187299</v>
      </c>
      <c r="I87">
        <f t="shared" si="1"/>
        <v>0</v>
      </c>
    </row>
    <row r="88" spans="1:9" x14ac:dyDescent="0.2">
      <c r="A88">
        <v>40</v>
      </c>
      <c r="B88">
        <v>10</v>
      </c>
      <c r="C88" t="s">
        <v>6</v>
      </c>
      <c r="D88" t="s">
        <v>57</v>
      </c>
      <c r="E88">
        <v>100000</v>
      </c>
      <c r="F88">
        <v>10</v>
      </c>
      <c r="G88">
        <v>486.51259095187299</v>
      </c>
      <c r="H88">
        <f>VLOOKUP(A88&amp;B88,Sheet2!A:I,8,FALSE)</f>
        <v>486.51259095187299</v>
      </c>
      <c r="I88">
        <f t="shared" si="1"/>
        <v>0</v>
      </c>
    </row>
    <row r="89" spans="1:9" x14ac:dyDescent="0.2">
      <c r="A89">
        <v>40</v>
      </c>
      <c r="B89">
        <v>10</v>
      </c>
      <c r="C89" t="s">
        <v>8</v>
      </c>
      <c r="D89" t="s">
        <v>57</v>
      </c>
      <c r="E89">
        <v>100000</v>
      </c>
      <c r="F89">
        <v>10</v>
      </c>
      <c r="G89">
        <v>486.51259095187299</v>
      </c>
      <c r="H89">
        <f>VLOOKUP(A89&amp;B89,Sheet2!A:I,8,FALSE)</f>
        <v>486.51259095187299</v>
      </c>
      <c r="I89">
        <f t="shared" si="1"/>
        <v>0</v>
      </c>
    </row>
    <row r="90" spans="1:9" x14ac:dyDescent="0.2">
      <c r="A90">
        <v>50</v>
      </c>
      <c r="B90">
        <v>1</v>
      </c>
      <c r="C90" t="s">
        <v>8</v>
      </c>
      <c r="D90" t="s">
        <v>92</v>
      </c>
      <c r="E90">
        <v>100000</v>
      </c>
      <c r="F90">
        <v>10</v>
      </c>
      <c r="G90">
        <v>276.67499234590099</v>
      </c>
      <c r="H90" t="e">
        <f>VLOOKUP(A90&amp;B90,Sheet2!A:I,8,FALSE)</f>
        <v>#N/A</v>
      </c>
      <c r="I90" t="e">
        <f t="shared" si="1"/>
        <v>#N/A</v>
      </c>
    </row>
    <row r="91" spans="1:9" x14ac:dyDescent="0.2">
      <c r="A91">
        <v>50</v>
      </c>
      <c r="B91">
        <v>2</v>
      </c>
      <c r="C91" t="s">
        <v>8</v>
      </c>
      <c r="D91" t="s">
        <v>93</v>
      </c>
      <c r="E91">
        <v>100000</v>
      </c>
      <c r="F91">
        <v>10</v>
      </c>
      <c r="G91">
        <v>304.22399699908198</v>
      </c>
      <c r="H91" t="e">
        <f>VLOOKUP(A91&amp;B91,Sheet2!A:I,8,FALSE)</f>
        <v>#N/A</v>
      </c>
      <c r="I91" t="e">
        <f t="shared" si="1"/>
        <v>#N/A</v>
      </c>
    </row>
    <row r="92" spans="1:9" x14ac:dyDescent="0.2">
      <c r="A92">
        <v>50</v>
      </c>
      <c r="B92">
        <v>3</v>
      </c>
      <c r="C92" t="s">
        <v>2</v>
      </c>
      <c r="D92" t="s">
        <v>59</v>
      </c>
      <c r="E92">
        <v>100000</v>
      </c>
      <c r="F92">
        <v>10</v>
      </c>
      <c r="G92">
        <v>361</v>
      </c>
      <c r="H92">
        <f>VLOOKUP(A92&amp;B92,Sheet2!A:I,8,FALSE)</f>
        <v>360.99828766528401</v>
      </c>
      <c r="I92">
        <f t="shared" si="1"/>
        <v>1.7123347159895275E-3</v>
      </c>
    </row>
    <row r="93" spans="1:9" x14ac:dyDescent="0.2">
      <c r="A93">
        <v>50</v>
      </c>
      <c r="B93">
        <v>3</v>
      </c>
      <c r="C93" t="s">
        <v>0</v>
      </c>
      <c r="D93" t="s">
        <v>58</v>
      </c>
      <c r="E93">
        <v>100000</v>
      </c>
      <c r="F93">
        <v>10</v>
      </c>
      <c r="G93">
        <v>360.99828766528401</v>
      </c>
      <c r="H93">
        <f>VLOOKUP(A93&amp;B93,Sheet2!A:I,8,FALSE)</f>
        <v>360.99828766528401</v>
      </c>
      <c r="I93">
        <f t="shared" si="1"/>
        <v>0</v>
      </c>
    </row>
    <row r="94" spans="1:9" x14ac:dyDescent="0.2">
      <c r="A94">
        <v>50</v>
      </c>
      <c r="B94">
        <v>3</v>
      </c>
      <c r="C94" t="s">
        <v>4</v>
      </c>
      <c r="D94" t="s">
        <v>60</v>
      </c>
      <c r="E94">
        <v>100000</v>
      </c>
      <c r="F94">
        <v>10</v>
      </c>
      <c r="G94">
        <v>361</v>
      </c>
      <c r="H94">
        <f>VLOOKUP(A94&amp;B94,Sheet2!A:I,8,FALSE)</f>
        <v>360.99828766528401</v>
      </c>
      <c r="I94">
        <f t="shared" si="1"/>
        <v>1.7123347159895275E-3</v>
      </c>
    </row>
    <row r="95" spans="1:9" x14ac:dyDescent="0.2">
      <c r="A95">
        <v>50</v>
      </c>
      <c r="B95">
        <v>3</v>
      </c>
      <c r="C95" t="s">
        <v>6</v>
      </c>
      <c r="D95" t="s">
        <v>61</v>
      </c>
      <c r="E95">
        <v>100000</v>
      </c>
      <c r="F95">
        <v>10</v>
      </c>
      <c r="G95">
        <v>361</v>
      </c>
      <c r="H95">
        <f>VLOOKUP(A95&amp;B95,Sheet2!A:I,8,FALSE)</f>
        <v>360.99828766528401</v>
      </c>
      <c r="I95">
        <f t="shared" si="1"/>
        <v>1.7123347159895275E-3</v>
      </c>
    </row>
    <row r="96" spans="1:9" x14ac:dyDescent="0.2">
      <c r="A96">
        <v>50</v>
      </c>
      <c r="B96">
        <v>3</v>
      </c>
      <c r="C96" t="s">
        <v>8</v>
      </c>
      <c r="D96" t="s">
        <v>94</v>
      </c>
      <c r="E96">
        <v>100000</v>
      </c>
      <c r="F96">
        <v>10</v>
      </c>
      <c r="G96">
        <v>361</v>
      </c>
      <c r="H96">
        <f>VLOOKUP(A96&amp;B96,Sheet2!A:I,8,FALSE)</f>
        <v>360.99828766528401</v>
      </c>
      <c r="I96">
        <f t="shared" si="1"/>
        <v>1.7123347159895275E-3</v>
      </c>
    </row>
    <row r="97" spans="1:9" x14ac:dyDescent="0.2">
      <c r="A97">
        <v>50</v>
      </c>
      <c r="B97">
        <v>4</v>
      </c>
      <c r="C97" t="s">
        <v>2</v>
      </c>
      <c r="D97" t="s">
        <v>63</v>
      </c>
      <c r="E97">
        <v>100000</v>
      </c>
      <c r="F97">
        <v>10</v>
      </c>
      <c r="G97">
        <v>357.94404422289</v>
      </c>
      <c r="H97">
        <f>VLOOKUP(A97&amp;B97,Sheet2!A:I,8,FALSE)</f>
        <v>357.94404422289</v>
      </c>
      <c r="I97">
        <f t="shared" si="1"/>
        <v>0</v>
      </c>
    </row>
    <row r="98" spans="1:9" x14ac:dyDescent="0.2">
      <c r="A98">
        <v>50</v>
      </c>
      <c r="B98">
        <v>4</v>
      </c>
      <c r="C98" t="s">
        <v>0</v>
      </c>
      <c r="D98" t="s">
        <v>62</v>
      </c>
      <c r="E98">
        <v>100000</v>
      </c>
      <c r="F98">
        <v>10</v>
      </c>
      <c r="G98">
        <v>357.94404422289</v>
      </c>
      <c r="H98">
        <f>VLOOKUP(A98&amp;B98,Sheet2!A:I,8,FALSE)</f>
        <v>357.94404422289</v>
      </c>
      <c r="I98">
        <f t="shared" si="1"/>
        <v>0</v>
      </c>
    </row>
    <row r="99" spans="1:9" x14ac:dyDescent="0.2">
      <c r="A99">
        <v>50</v>
      </c>
      <c r="B99">
        <v>4</v>
      </c>
      <c r="C99" t="s">
        <v>4</v>
      </c>
      <c r="D99" t="s">
        <v>64</v>
      </c>
      <c r="E99">
        <v>100000</v>
      </c>
      <c r="F99">
        <v>10</v>
      </c>
      <c r="G99">
        <v>357.94404422289</v>
      </c>
      <c r="H99">
        <f>VLOOKUP(A99&amp;B99,Sheet2!A:I,8,FALSE)</f>
        <v>357.94404422289</v>
      </c>
      <c r="I99">
        <f t="shared" si="1"/>
        <v>0</v>
      </c>
    </row>
    <row r="100" spans="1:9" x14ac:dyDescent="0.2">
      <c r="A100">
        <v>50</v>
      </c>
      <c r="B100">
        <v>4</v>
      </c>
      <c r="C100" t="s">
        <v>6</v>
      </c>
      <c r="D100" t="s">
        <v>65</v>
      </c>
      <c r="E100">
        <v>100000</v>
      </c>
      <c r="F100">
        <v>10</v>
      </c>
      <c r="G100">
        <v>357.94404422289</v>
      </c>
      <c r="H100">
        <f>VLOOKUP(A100&amp;B100,Sheet2!A:I,8,FALSE)</f>
        <v>357.94404422289</v>
      </c>
      <c r="I100">
        <f t="shared" si="1"/>
        <v>0</v>
      </c>
    </row>
    <row r="101" spans="1:9" x14ac:dyDescent="0.2">
      <c r="A101">
        <v>50</v>
      </c>
      <c r="B101">
        <v>4</v>
      </c>
      <c r="C101" t="s">
        <v>8</v>
      </c>
      <c r="D101" t="s">
        <v>65</v>
      </c>
      <c r="E101">
        <v>100000</v>
      </c>
      <c r="F101">
        <v>10</v>
      </c>
      <c r="G101">
        <v>357.94404422289</v>
      </c>
      <c r="H101">
        <f>VLOOKUP(A101&amp;B101,Sheet2!A:I,8,FALSE)</f>
        <v>357.94404422289</v>
      </c>
      <c r="I101">
        <f t="shared" si="1"/>
        <v>0</v>
      </c>
    </row>
    <row r="102" spans="1:9" x14ac:dyDescent="0.2">
      <c r="A102">
        <v>50</v>
      </c>
      <c r="B102">
        <v>5</v>
      </c>
      <c r="C102" t="s">
        <v>2</v>
      </c>
      <c r="D102" t="s">
        <v>67</v>
      </c>
      <c r="E102">
        <v>100000</v>
      </c>
      <c r="F102">
        <v>10</v>
      </c>
      <c r="G102">
        <v>531</v>
      </c>
      <c r="H102">
        <f>VLOOKUP(A102&amp;B102,Sheet2!A:I,8,FALSE)</f>
        <v>531</v>
      </c>
      <c r="I102">
        <f t="shared" si="1"/>
        <v>0</v>
      </c>
    </row>
    <row r="103" spans="1:9" x14ac:dyDescent="0.2">
      <c r="A103">
        <v>50</v>
      </c>
      <c r="B103">
        <v>5</v>
      </c>
      <c r="C103" t="s">
        <v>0</v>
      </c>
      <c r="D103" t="s">
        <v>66</v>
      </c>
      <c r="E103">
        <v>100000</v>
      </c>
      <c r="F103">
        <v>10</v>
      </c>
      <c r="G103">
        <v>531</v>
      </c>
      <c r="H103">
        <f>VLOOKUP(A103&amp;B103,Sheet2!A:I,8,FALSE)</f>
        <v>531</v>
      </c>
      <c r="I103">
        <f t="shared" si="1"/>
        <v>0</v>
      </c>
    </row>
    <row r="104" spans="1:9" x14ac:dyDescent="0.2">
      <c r="A104">
        <v>50</v>
      </c>
      <c r="B104">
        <v>5</v>
      </c>
      <c r="C104" t="s">
        <v>4</v>
      </c>
      <c r="D104" t="s">
        <v>68</v>
      </c>
      <c r="E104">
        <v>100000</v>
      </c>
      <c r="F104">
        <v>10</v>
      </c>
      <c r="G104">
        <v>531</v>
      </c>
      <c r="H104">
        <f>VLOOKUP(A104&amp;B104,Sheet2!A:I,8,FALSE)</f>
        <v>531</v>
      </c>
      <c r="I104">
        <f t="shared" si="1"/>
        <v>0</v>
      </c>
    </row>
    <row r="105" spans="1:9" x14ac:dyDescent="0.2">
      <c r="A105">
        <v>50</v>
      </c>
      <c r="B105">
        <v>5</v>
      </c>
      <c r="C105" t="s">
        <v>6</v>
      </c>
      <c r="D105" t="s">
        <v>69</v>
      </c>
      <c r="E105">
        <v>100000</v>
      </c>
      <c r="F105">
        <v>10</v>
      </c>
      <c r="G105">
        <v>531</v>
      </c>
      <c r="H105">
        <f>VLOOKUP(A105&amp;B105,Sheet2!A:I,8,FALSE)</f>
        <v>531</v>
      </c>
      <c r="I105">
        <f t="shared" si="1"/>
        <v>0</v>
      </c>
    </row>
    <row r="106" spans="1:9" x14ac:dyDescent="0.2">
      <c r="A106">
        <v>50</v>
      </c>
      <c r="B106">
        <v>5</v>
      </c>
      <c r="C106" t="s">
        <v>8</v>
      </c>
      <c r="D106" t="s">
        <v>95</v>
      </c>
      <c r="E106">
        <v>100000</v>
      </c>
      <c r="F106">
        <v>10</v>
      </c>
      <c r="G106">
        <v>530.87182810629895</v>
      </c>
      <c r="H106">
        <f>VLOOKUP(A106&amp;B106,Sheet2!A:I,8,FALSE)</f>
        <v>531</v>
      </c>
      <c r="I106">
        <f t="shared" si="1"/>
        <v>-0.12817189370105098</v>
      </c>
    </row>
    <row r="107" spans="1:9" x14ac:dyDescent="0.2">
      <c r="A107">
        <v>50</v>
      </c>
      <c r="B107">
        <v>6</v>
      </c>
      <c r="C107" t="s">
        <v>2</v>
      </c>
      <c r="D107" t="s">
        <v>71</v>
      </c>
      <c r="E107">
        <v>100000</v>
      </c>
      <c r="F107">
        <v>10</v>
      </c>
      <c r="G107">
        <v>276.01626420815001</v>
      </c>
      <c r="H107">
        <f>VLOOKUP(A107&amp;B107,Sheet2!A:I,8,FALSE)</f>
        <v>275.73228931258302</v>
      </c>
      <c r="I107">
        <f t="shared" si="1"/>
        <v>0.28397489556698474</v>
      </c>
    </row>
    <row r="108" spans="1:9" x14ac:dyDescent="0.2">
      <c r="A108">
        <v>50</v>
      </c>
      <c r="B108">
        <v>6</v>
      </c>
      <c r="C108" t="s">
        <v>0</v>
      </c>
      <c r="D108" t="s">
        <v>70</v>
      </c>
      <c r="E108">
        <v>100000</v>
      </c>
      <c r="F108">
        <v>10</v>
      </c>
      <c r="G108">
        <v>275.73228931258302</v>
      </c>
      <c r="H108">
        <f>VLOOKUP(A108&amp;B108,Sheet2!A:I,8,FALSE)</f>
        <v>275.73228931258302</v>
      </c>
      <c r="I108">
        <f t="shared" si="1"/>
        <v>0</v>
      </c>
    </row>
    <row r="109" spans="1:9" x14ac:dyDescent="0.2">
      <c r="A109">
        <v>50</v>
      </c>
      <c r="B109">
        <v>6</v>
      </c>
      <c r="C109" t="s">
        <v>4</v>
      </c>
      <c r="D109" t="s">
        <v>72</v>
      </c>
      <c r="E109">
        <v>100000</v>
      </c>
      <c r="F109">
        <v>10</v>
      </c>
      <c r="G109">
        <v>276.01626420815001</v>
      </c>
      <c r="H109">
        <f>VLOOKUP(A109&amp;B109,Sheet2!A:I,8,FALSE)</f>
        <v>275.73228931258302</v>
      </c>
      <c r="I109">
        <f t="shared" si="1"/>
        <v>0.28397489556698474</v>
      </c>
    </row>
    <row r="110" spans="1:9" x14ac:dyDescent="0.2">
      <c r="A110">
        <v>50</v>
      </c>
      <c r="B110">
        <v>6</v>
      </c>
      <c r="C110" t="s">
        <v>6</v>
      </c>
      <c r="D110" t="s">
        <v>73</v>
      </c>
      <c r="E110">
        <v>100000</v>
      </c>
      <c r="F110">
        <v>10</v>
      </c>
      <c r="G110">
        <v>276.01626420815001</v>
      </c>
      <c r="H110">
        <f>VLOOKUP(A110&amp;B110,Sheet2!A:I,8,FALSE)</f>
        <v>275.73228931258302</v>
      </c>
      <c r="I110">
        <f t="shared" si="1"/>
        <v>0.28397489556698474</v>
      </c>
    </row>
    <row r="111" spans="1:9" x14ac:dyDescent="0.2">
      <c r="A111">
        <v>50</v>
      </c>
      <c r="B111">
        <v>6</v>
      </c>
      <c r="C111" t="s">
        <v>8</v>
      </c>
      <c r="D111" t="s">
        <v>73</v>
      </c>
      <c r="E111">
        <v>100000</v>
      </c>
      <c r="F111">
        <v>10</v>
      </c>
      <c r="G111">
        <v>276.01626420815001</v>
      </c>
      <c r="H111">
        <f>VLOOKUP(A111&amp;B111,Sheet2!A:I,8,FALSE)</f>
        <v>275.73228931258302</v>
      </c>
      <c r="I111">
        <f t="shared" si="1"/>
        <v>0.28397489556698474</v>
      </c>
    </row>
    <row r="112" spans="1:9" x14ac:dyDescent="0.2">
      <c r="A112">
        <v>50</v>
      </c>
      <c r="B112">
        <v>7</v>
      </c>
      <c r="C112" t="s">
        <v>2</v>
      </c>
      <c r="D112" t="s">
        <v>75</v>
      </c>
      <c r="E112">
        <v>100000</v>
      </c>
      <c r="F112">
        <v>10</v>
      </c>
      <c r="G112">
        <v>204.000144495554</v>
      </c>
      <c r="H112">
        <f>VLOOKUP(A112&amp;B112,Sheet2!A:I,8,FALSE)</f>
        <v>204.000144495554</v>
      </c>
      <c r="I112">
        <f t="shared" si="1"/>
        <v>0</v>
      </c>
    </row>
    <row r="113" spans="1:9" x14ac:dyDescent="0.2">
      <c r="A113">
        <v>50</v>
      </c>
      <c r="B113">
        <v>7</v>
      </c>
      <c r="C113" t="s">
        <v>0</v>
      </c>
      <c r="D113" t="s">
        <v>74</v>
      </c>
      <c r="E113">
        <v>100000</v>
      </c>
      <c r="F113">
        <v>10</v>
      </c>
      <c r="G113">
        <v>204.000144495554</v>
      </c>
      <c r="H113">
        <f>VLOOKUP(A113&amp;B113,Sheet2!A:I,8,FALSE)</f>
        <v>204.000144495554</v>
      </c>
      <c r="I113">
        <f t="shared" si="1"/>
        <v>0</v>
      </c>
    </row>
    <row r="114" spans="1:9" x14ac:dyDescent="0.2">
      <c r="A114">
        <v>50</v>
      </c>
      <c r="B114">
        <v>7</v>
      </c>
      <c r="C114" t="s">
        <v>4</v>
      </c>
      <c r="D114" t="s">
        <v>76</v>
      </c>
      <c r="E114">
        <v>100000</v>
      </c>
      <c r="F114">
        <v>10</v>
      </c>
      <c r="G114">
        <v>204.000144495554</v>
      </c>
      <c r="H114">
        <f>VLOOKUP(A114&amp;B114,Sheet2!A:I,8,FALSE)</f>
        <v>204.000144495554</v>
      </c>
      <c r="I114">
        <f t="shared" si="1"/>
        <v>0</v>
      </c>
    </row>
    <row r="115" spans="1:9" x14ac:dyDescent="0.2">
      <c r="A115">
        <v>50</v>
      </c>
      <c r="B115">
        <v>7</v>
      </c>
      <c r="C115" t="s">
        <v>6</v>
      </c>
      <c r="D115" t="s">
        <v>77</v>
      </c>
      <c r="E115">
        <v>100000</v>
      </c>
      <c r="F115">
        <v>10</v>
      </c>
      <c r="G115">
        <v>204.000144495554</v>
      </c>
      <c r="H115">
        <f>VLOOKUP(A115&amp;B115,Sheet2!A:I,8,FALSE)</f>
        <v>204.000144495554</v>
      </c>
      <c r="I115">
        <f t="shared" si="1"/>
        <v>0</v>
      </c>
    </row>
    <row r="116" spans="1:9" x14ac:dyDescent="0.2">
      <c r="A116">
        <v>50</v>
      </c>
      <c r="B116">
        <v>7</v>
      </c>
      <c r="C116" t="s">
        <v>8</v>
      </c>
      <c r="D116" t="s">
        <v>96</v>
      </c>
      <c r="E116">
        <v>100000</v>
      </c>
      <c r="F116">
        <v>10</v>
      </c>
      <c r="G116">
        <v>204.000144495554</v>
      </c>
      <c r="H116">
        <f>VLOOKUP(A116&amp;B116,Sheet2!A:I,8,FALSE)</f>
        <v>204.000144495554</v>
      </c>
      <c r="I116">
        <f t="shared" si="1"/>
        <v>0</v>
      </c>
    </row>
    <row r="117" spans="1:9" x14ac:dyDescent="0.2">
      <c r="A117">
        <v>50</v>
      </c>
      <c r="B117">
        <v>8</v>
      </c>
      <c r="C117" t="s">
        <v>2</v>
      </c>
      <c r="D117" t="s">
        <v>79</v>
      </c>
      <c r="E117">
        <v>100000</v>
      </c>
      <c r="F117">
        <v>10</v>
      </c>
      <c r="G117">
        <v>168</v>
      </c>
      <c r="H117">
        <f>VLOOKUP(A117&amp;B117,Sheet2!A:I,8,FALSE)</f>
        <v>168</v>
      </c>
      <c r="I117">
        <f t="shared" si="1"/>
        <v>0</v>
      </c>
    </row>
    <row r="118" spans="1:9" x14ac:dyDescent="0.2">
      <c r="A118">
        <v>50</v>
      </c>
      <c r="B118">
        <v>8</v>
      </c>
      <c r="C118" t="s">
        <v>0</v>
      </c>
      <c r="D118" t="s">
        <v>78</v>
      </c>
      <c r="E118">
        <v>100000</v>
      </c>
      <c r="F118">
        <v>10</v>
      </c>
      <c r="G118">
        <v>168</v>
      </c>
      <c r="H118">
        <f>VLOOKUP(A118&amp;B118,Sheet2!A:I,8,FALSE)</f>
        <v>168</v>
      </c>
      <c r="I118">
        <f t="shared" si="1"/>
        <v>0</v>
      </c>
    </row>
    <row r="119" spans="1:9" x14ac:dyDescent="0.2">
      <c r="A119">
        <v>50</v>
      </c>
      <c r="B119">
        <v>8</v>
      </c>
      <c r="C119" t="s">
        <v>4</v>
      </c>
      <c r="D119" t="s">
        <v>80</v>
      </c>
      <c r="E119">
        <v>100000</v>
      </c>
      <c r="F119">
        <v>10</v>
      </c>
      <c r="G119">
        <v>168</v>
      </c>
      <c r="H119">
        <f>VLOOKUP(A119&amp;B119,Sheet2!A:I,8,FALSE)</f>
        <v>168</v>
      </c>
      <c r="I119">
        <f t="shared" si="1"/>
        <v>0</v>
      </c>
    </row>
    <row r="120" spans="1:9" x14ac:dyDescent="0.2">
      <c r="A120">
        <v>50</v>
      </c>
      <c r="B120">
        <v>8</v>
      </c>
      <c r="C120" t="s">
        <v>6</v>
      </c>
      <c r="D120" t="s">
        <v>81</v>
      </c>
      <c r="E120">
        <v>100000</v>
      </c>
      <c r="F120">
        <v>10</v>
      </c>
      <c r="G120">
        <v>168</v>
      </c>
      <c r="H120">
        <f>VLOOKUP(A120&amp;B120,Sheet2!A:I,8,FALSE)</f>
        <v>168</v>
      </c>
      <c r="I120">
        <f t="shared" si="1"/>
        <v>0</v>
      </c>
    </row>
    <row r="121" spans="1:9" x14ac:dyDescent="0.2">
      <c r="A121">
        <v>50</v>
      </c>
      <c r="B121">
        <v>8</v>
      </c>
      <c r="C121" t="s">
        <v>8</v>
      </c>
      <c r="D121" t="s">
        <v>80</v>
      </c>
      <c r="E121">
        <v>100000</v>
      </c>
      <c r="F121">
        <v>10</v>
      </c>
      <c r="G121">
        <v>168</v>
      </c>
      <c r="H121">
        <f>VLOOKUP(A121&amp;B121,Sheet2!A:I,8,FALSE)</f>
        <v>168</v>
      </c>
      <c r="I121">
        <f t="shared" si="1"/>
        <v>0</v>
      </c>
    </row>
    <row r="122" spans="1:9" x14ac:dyDescent="0.2">
      <c r="A122">
        <v>50</v>
      </c>
      <c r="B122">
        <v>9</v>
      </c>
      <c r="C122" t="s">
        <v>2</v>
      </c>
      <c r="D122" t="s">
        <v>82</v>
      </c>
      <c r="E122">
        <v>100000</v>
      </c>
      <c r="F122">
        <v>10</v>
      </c>
      <c r="G122">
        <v>353.47810742444699</v>
      </c>
      <c r="H122">
        <f>VLOOKUP(A122&amp;B122,Sheet2!A:I,8,FALSE)</f>
        <v>353.47810742444699</v>
      </c>
      <c r="I122">
        <f t="shared" si="1"/>
        <v>0</v>
      </c>
    </row>
    <row r="123" spans="1:9" x14ac:dyDescent="0.2">
      <c r="A123">
        <v>50</v>
      </c>
      <c r="B123">
        <v>9</v>
      </c>
      <c r="C123" t="s">
        <v>0</v>
      </c>
      <c r="D123" t="s">
        <v>82</v>
      </c>
      <c r="E123">
        <v>100000</v>
      </c>
      <c r="F123">
        <v>10</v>
      </c>
      <c r="G123">
        <v>353.47810742444699</v>
      </c>
      <c r="H123">
        <f>VLOOKUP(A123&amp;B123,Sheet2!A:I,8,FALSE)</f>
        <v>353.47810742444699</v>
      </c>
      <c r="I123">
        <f t="shared" si="1"/>
        <v>0</v>
      </c>
    </row>
    <row r="124" spans="1:9" x14ac:dyDescent="0.2">
      <c r="A124">
        <v>50</v>
      </c>
      <c r="B124">
        <v>9</v>
      </c>
      <c r="C124" t="s">
        <v>4</v>
      </c>
      <c r="D124" t="s">
        <v>83</v>
      </c>
      <c r="E124">
        <v>100000</v>
      </c>
      <c r="F124">
        <v>10</v>
      </c>
      <c r="G124">
        <v>353.47810742444699</v>
      </c>
      <c r="H124">
        <f>VLOOKUP(A124&amp;B124,Sheet2!A:I,8,FALSE)</f>
        <v>353.47810742444699</v>
      </c>
      <c r="I124">
        <f t="shared" si="1"/>
        <v>0</v>
      </c>
    </row>
    <row r="125" spans="1:9" x14ac:dyDescent="0.2">
      <c r="A125">
        <v>50</v>
      </c>
      <c r="B125">
        <v>9</v>
      </c>
      <c r="C125" t="s">
        <v>6</v>
      </c>
      <c r="D125" t="s">
        <v>83</v>
      </c>
      <c r="E125">
        <v>100000</v>
      </c>
      <c r="F125">
        <v>10</v>
      </c>
      <c r="G125">
        <v>353.47810742444699</v>
      </c>
      <c r="H125">
        <f>VLOOKUP(A125&amp;B125,Sheet2!A:I,8,FALSE)</f>
        <v>353.47810742444699</v>
      </c>
      <c r="I125">
        <f t="shared" si="1"/>
        <v>0</v>
      </c>
    </row>
    <row r="126" spans="1:9" x14ac:dyDescent="0.2">
      <c r="A126">
        <v>50</v>
      </c>
      <c r="B126">
        <v>9</v>
      </c>
      <c r="C126" t="s">
        <v>8</v>
      </c>
      <c r="D126" t="s">
        <v>83</v>
      </c>
      <c r="E126">
        <v>100000</v>
      </c>
      <c r="F126">
        <v>10</v>
      </c>
      <c r="G126">
        <v>353.47810742444699</v>
      </c>
      <c r="H126">
        <f>VLOOKUP(A126&amp;B126,Sheet2!A:I,8,FALSE)</f>
        <v>353.47810742444699</v>
      </c>
      <c r="I126">
        <f t="shared" si="1"/>
        <v>0</v>
      </c>
    </row>
    <row r="127" spans="1:9" x14ac:dyDescent="0.2">
      <c r="A127">
        <v>50</v>
      </c>
      <c r="B127">
        <v>10</v>
      </c>
      <c r="C127" t="s">
        <v>8</v>
      </c>
      <c r="D127" t="s">
        <v>97</v>
      </c>
      <c r="E127">
        <v>100000</v>
      </c>
      <c r="F127">
        <v>10</v>
      </c>
      <c r="G127">
        <v>337.71935881085199</v>
      </c>
      <c r="H127" t="e">
        <f>VLOOKUP(A127&amp;B127,Sheet2!A:I,8,FALSE)</f>
        <v>#N/A</v>
      </c>
      <c r="I127" t="e">
        <f t="shared" si="1"/>
        <v>#N/A</v>
      </c>
    </row>
  </sheetData>
  <autoFilter ref="A1:G152" xr:uid="{BC9903A8-C5A2-9D4C-BD90-9673255E36C4}">
    <sortState xmlns:xlrd2="http://schemas.microsoft.com/office/spreadsheetml/2017/richdata2" ref="A2:G152">
      <sortCondition ref="A1:A15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03A8-C5A2-9D4C-BD90-9673255E36C4}">
  <dimension ref="A1:I97"/>
  <sheetViews>
    <sheetView tabSelected="1" workbookViewId="0">
      <selection activeCell="D93" sqref="D93"/>
    </sheetView>
  </sheetViews>
  <sheetFormatPr baseColWidth="10" defaultRowHeight="16" x14ac:dyDescent="0.2"/>
  <cols>
    <col min="4" max="4" width="34.5" bestFit="1" customWidth="1"/>
  </cols>
  <sheetData>
    <row r="1" spans="1:9" x14ac:dyDescent="0.2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107</v>
      </c>
      <c r="I1" t="s">
        <v>108</v>
      </c>
    </row>
    <row r="2" spans="1:9" x14ac:dyDescent="0.2">
      <c r="A2">
        <v>30</v>
      </c>
      <c r="B2">
        <v>1</v>
      </c>
      <c r="C2" t="s">
        <v>2</v>
      </c>
      <c r="D2" t="s">
        <v>3</v>
      </c>
      <c r="E2">
        <v>100000</v>
      </c>
      <c r="F2">
        <v>10</v>
      </c>
      <c r="G2">
        <v>564.13478690584202</v>
      </c>
      <c r="H2">
        <f>VLOOKUP(A2&amp;B2,Sheet2!A:I,8,FALSE)</f>
        <v>564.13478690584202</v>
      </c>
      <c r="I2">
        <f>G2-H2</f>
        <v>0</v>
      </c>
    </row>
    <row r="3" spans="1:9" x14ac:dyDescent="0.2">
      <c r="A3">
        <v>30</v>
      </c>
      <c r="B3">
        <v>2</v>
      </c>
      <c r="C3" t="s">
        <v>2</v>
      </c>
      <c r="D3" t="s">
        <v>10</v>
      </c>
      <c r="E3">
        <v>100000</v>
      </c>
      <c r="F3">
        <v>10</v>
      </c>
      <c r="G3">
        <v>463.72986594221999</v>
      </c>
      <c r="H3">
        <f>VLOOKUP(A3&amp;B3,Sheet2!A:I,8,FALSE)</f>
        <v>463.72986594221999</v>
      </c>
      <c r="I3">
        <f t="shared" ref="I3:I66" si="0">G3-H3</f>
        <v>0</v>
      </c>
    </row>
    <row r="4" spans="1:9" x14ac:dyDescent="0.2">
      <c r="A4">
        <v>30</v>
      </c>
      <c r="B4">
        <v>3</v>
      </c>
      <c r="C4" t="s">
        <v>2</v>
      </c>
      <c r="D4" t="s">
        <v>14</v>
      </c>
      <c r="E4">
        <v>100000</v>
      </c>
      <c r="F4">
        <v>10</v>
      </c>
      <c r="G4">
        <v>275</v>
      </c>
      <c r="H4">
        <f>VLOOKUP(A4&amp;B4,Sheet2!A:I,8,FALSE)</f>
        <v>275</v>
      </c>
      <c r="I4">
        <f t="shared" si="0"/>
        <v>0</v>
      </c>
    </row>
    <row r="5" spans="1:9" x14ac:dyDescent="0.2">
      <c r="A5">
        <v>30</v>
      </c>
      <c r="B5">
        <v>4</v>
      </c>
      <c r="C5" t="s">
        <v>2</v>
      </c>
      <c r="D5" t="s">
        <v>18</v>
      </c>
      <c r="E5">
        <v>100000</v>
      </c>
      <c r="F5">
        <v>10</v>
      </c>
      <c r="G5">
        <v>397.001732613603</v>
      </c>
      <c r="H5">
        <f>VLOOKUP(A5&amp;B5,Sheet2!A:I,8,FALSE)</f>
        <v>397.001732613603</v>
      </c>
      <c r="I5">
        <f t="shared" si="0"/>
        <v>0</v>
      </c>
    </row>
    <row r="6" spans="1:9" x14ac:dyDescent="0.2">
      <c r="A6">
        <v>30</v>
      </c>
      <c r="B6">
        <v>5</v>
      </c>
      <c r="C6" t="s">
        <v>2</v>
      </c>
      <c r="D6" t="s">
        <v>22</v>
      </c>
      <c r="E6">
        <v>100000</v>
      </c>
      <c r="F6">
        <v>10</v>
      </c>
      <c r="G6">
        <v>321.39979977021602</v>
      </c>
      <c r="H6">
        <f>VLOOKUP(A6&amp;B6,Sheet2!A:I,8,FALSE)</f>
        <v>321.39979977021602</v>
      </c>
      <c r="I6">
        <f t="shared" si="0"/>
        <v>0</v>
      </c>
    </row>
    <row r="7" spans="1:9" x14ac:dyDescent="0.2">
      <c r="A7">
        <v>30</v>
      </c>
      <c r="B7">
        <v>7</v>
      </c>
      <c r="C7" t="s">
        <v>2</v>
      </c>
      <c r="D7" t="s">
        <v>26</v>
      </c>
      <c r="E7">
        <v>100000</v>
      </c>
      <c r="F7">
        <v>10</v>
      </c>
      <c r="G7">
        <v>388</v>
      </c>
      <c r="H7">
        <f>VLOOKUP(A7&amp;B7,Sheet2!A:I,8,FALSE)</f>
        <v>388</v>
      </c>
      <c r="I7">
        <f t="shared" si="0"/>
        <v>0</v>
      </c>
    </row>
    <row r="8" spans="1:9" x14ac:dyDescent="0.2">
      <c r="A8">
        <v>30</v>
      </c>
      <c r="B8">
        <v>8</v>
      </c>
      <c r="C8" t="s">
        <v>2</v>
      </c>
      <c r="D8" t="s">
        <v>29</v>
      </c>
      <c r="E8">
        <v>100000</v>
      </c>
      <c r="F8">
        <v>10</v>
      </c>
      <c r="G8">
        <v>330</v>
      </c>
      <c r="H8">
        <f>VLOOKUP(A8&amp;B8,Sheet2!A:I,8,FALSE)</f>
        <v>330</v>
      </c>
      <c r="I8">
        <f t="shared" si="0"/>
        <v>0</v>
      </c>
    </row>
    <row r="9" spans="1:9" x14ac:dyDescent="0.2">
      <c r="A9">
        <v>30</v>
      </c>
      <c r="B9">
        <v>9</v>
      </c>
      <c r="C9" t="s">
        <v>2</v>
      </c>
      <c r="D9" t="s">
        <v>32</v>
      </c>
      <c r="E9">
        <v>100000</v>
      </c>
      <c r="F9">
        <v>10</v>
      </c>
      <c r="G9">
        <v>371.009410406531</v>
      </c>
      <c r="H9">
        <f>VLOOKUP(A9&amp;B9,Sheet2!A:I,8,FALSE)</f>
        <v>371.009410406531</v>
      </c>
      <c r="I9">
        <f t="shared" si="0"/>
        <v>0</v>
      </c>
    </row>
    <row r="10" spans="1:9" x14ac:dyDescent="0.2">
      <c r="A10">
        <v>30</v>
      </c>
      <c r="B10">
        <v>10</v>
      </c>
      <c r="C10" t="s">
        <v>2</v>
      </c>
      <c r="D10" t="s">
        <v>36</v>
      </c>
      <c r="E10">
        <v>100000</v>
      </c>
      <c r="F10">
        <v>10</v>
      </c>
      <c r="G10">
        <v>688.06318745206397</v>
      </c>
      <c r="H10">
        <f>VLOOKUP(A10&amp;B10,Sheet2!A:I,8,FALSE)</f>
        <v>688.06318745206397</v>
      </c>
      <c r="I10">
        <f t="shared" si="0"/>
        <v>0</v>
      </c>
    </row>
    <row r="11" spans="1:9" x14ac:dyDescent="0.2">
      <c r="A11">
        <v>40</v>
      </c>
      <c r="B11">
        <v>1</v>
      </c>
      <c r="C11" t="s">
        <v>2</v>
      </c>
      <c r="D11" t="s">
        <v>38</v>
      </c>
      <c r="E11">
        <v>100000</v>
      </c>
      <c r="F11">
        <v>10</v>
      </c>
      <c r="G11">
        <v>509.23269528755299</v>
      </c>
      <c r="H11">
        <f>VLOOKUP(A11&amp;B11,Sheet2!A:I,8,FALSE)</f>
        <v>509.23269528755299</v>
      </c>
      <c r="I11">
        <f t="shared" si="0"/>
        <v>0</v>
      </c>
    </row>
    <row r="12" spans="1:9" x14ac:dyDescent="0.2">
      <c r="A12">
        <v>40</v>
      </c>
      <c r="B12">
        <v>2</v>
      </c>
      <c r="C12" t="s">
        <v>2</v>
      </c>
      <c r="D12" t="s">
        <v>40</v>
      </c>
      <c r="E12">
        <v>100000</v>
      </c>
      <c r="F12">
        <v>10</v>
      </c>
      <c r="G12">
        <v>496.954405994441</v>
      </c>
      <c r="H12">
        <f>VLOOKUP(A12&amp;B12,Sheet2!A:I,8,FALSE)</f>
        <v>496.954405994441</v>
      </c>
      <c r="I12">
        <f t="shared" si="0"/>
        <v>0</v>
      </c>
    </row>
    <row r="13" spans="1:9" x14ac:dyDescent="0.2">
      <c r="A13">
        <v>40</v>
      </c>
      <c r="B13">
        <v>3</v>
      </c>
      <c r="C13" t="s">
        <v>2</v>
      </c>
      <c r="D13" t="s">
        <v>42</v>
      </c>
      <c r="E13">
        <v>100000</v>
      </c>
      <c r="F13">
        <v>10</v>
      </c>
      <c r="G13">
        <v>454.51928028419798</v>
      </c>
      <c r="H13">
        <f>VLOOKUP(A13&amp;B13,Sheet2!A:I,8,FALSE)</f>
        <v>454.51928028419798</v>
      </c>
      <c r="I13">
        <f t="shared" si="0"/>
        <v>0</v>
      </c>
    </row>
    <row r="14" spans="1:9" x14ac:dyDescent="0.2">
      <c r="A14">
        <v>40</v>
      </c>
      <c r="B14">
        <v>6</v>
      </c>
      <c r="C14" t="s">
        <v>2</v>
      </c>
      <c r="D14" t="s">
        <v>45</v>
      </c>
      <c r="E14">
        <v>100000</v>
      </c>
      <c r="F14">
        <v>10</v>
      </c>
      <c r="G14">
        <v>264.17242840239601</v>
      </c>
      <c r="H14">
        <f>VLOOKUP(A14&amp;B14,Sheet2!A:I,8,FALSE)</f>
        <v>264.17242840239601</v>
      </c>
      <c r="I14">
        <f t="shared" si="0"/>
        <v>0</v>
      </c>
    </row>
    <row r="15" spans="1:9" x14ac:dyDescent="0.2">
      <c r="A15">
        <v>40</v>
      </c>
      <c r="B15">
        <v>7</v>
      </c>
      <c r="C15" t="s">
        <v>2</v>
      </c>
      <c r="D15" t="s">
        <v>49</v>
      </c>
      <c r="E15">
        <v>100000</v>
      </c>
      <c r="F15">
        <v>10</v>
      </c>
      <c r="G15">
        <v>168</v>
      </c>
      <c r="H15">
        <f>VLOOKUP(A15&amp;B15,Sheet2!A:I,8,FALSE)</f>
        <v>168</v>
      </c>
      <c r="I15">
        <f t="shared" si="0"/>
        <v>0</v>
      </c>
    </row>
    <row r="16" spans="1:9" x14ac:dyDescent="0.2">
      <c r="A16">
        <v>40</v>
      </c>
      <c r="B16">
        <v>8</v>
      </c>
      <c r="C16" t="s">
        <v>2</v>
      </c>
      <c r="D16" t="s">
        <v>52</v>
      </c>
      <c r="E16">
        <v>100000</v>
      </c>
      <c r="F16">
        <v>10</v>
      </c>
      <c r="G16">
        <v>584.99820484905604</v>
      </c>
      <c r="H16">
        <f>VLOOKUP(A16&amp;B16,Sheet2!A:I,8,FALSE)</f>
        <v>584.99820484905604</v>
      </c>
      <c r="I16">
        <f t="shared" si="0"/>
        <v>0</v>
      </c>
    </row>
    <row r="17" spans="1:9" x14ac:dyDescent="0.2">
      <c r="A17">
        <v>40</v>
      </c>
      <c r="B17">
        <v>9</v>
      </c>
      <c r="C17" t="s">
        <v>2</v>
      </c>
      <c r="D17" t="s">
        <v>54</v>
      </c>
      <c r="E17">
        <v>100000</v>
      </c>
      <c r="F17">
        <v>10</v>
      </c>
      <c r="G17">
        <v>458.16802167440301</v>
      </c>
      <c r="H17">
        <f>VLOOKUP(A17&amp;B17,Sheet2!A:I,8,FALSE)</f>
        <v>458.16802167440301</v>
      </c>
      <c r="I17">
        <f t="shared" si="0"/>
        <v>0</v>
      </c>
    </row>
    <row r="18" spans="1:9" x14ac:dyDescent="0.2">
      <c r="A18">
        <v>40</v>
      </c>
      <c r="B18">
        <v>10</v>
      </c>
      <c r="C18" t="s">
        <v>2</v>
      </c>
      <c r="D18" t="s">
        <v>56</v>
      </c>
      <c r="E18">
        <v>100000</v>
      </c>
      <c r="F18">
        <v>10</v>
      </c>
      <c r="G18">
        <v>486.51259095187299</v>
      </c>
      <c r="H18">
        <f>VLOOKUP(A18&amp;B18,Sheet2!A:I,8,FALSE)</f>
        <v>486.51259095187299</v>
      </c>
      <c r="I18">
        <f t="shared" si="0"/>
        <v>0</v>
      </c>
    </row>
    <row r="19" spans="1:9" x14ac:dyDescent="0.2">
      <c r="A19">
        <v>50</v>
      </c>
      <c r="B19">
        <v>3</v>
      </c>
      <c r="C19" t="s">
        <v>2</v>
      </c>
      <c r="D19" t="s">
        <v>59</v>
      </c>
      <c r="E19">
        <v>100000</v>
      </c>
      <c r="F19">
        <v>10</v>
      </c>
      <c r="G19">
        <v>361</v>
      </c>
      <c r="H19">
        <f>VLOOKUP(A19&amp;B19,Sheet2!A:I,8,FALSE)</f>
        <v>360.99828766528401</v>
      </c>
      <c r="I19">
        <f t="shared" si="0"/>
        <v>1.7123347159895275E-3</v>
      </c>
    </row>
    <row r="20" spans="1:9" x14ac:dyDescent="0.2">
      <c r="A20">
        <v>50</v>
      </c>
      <c r="B20">
        <v>4</v>
      </c>
      <c r="C20" t="s">
        <v>2</v>
      </c>
      <c r="D20" t="s">
        <v>63</v>
      </c>
      <c r="E20">
        <v>100000</v>
      </c>
      <c r="F20">
        <v>10</v>
      </c>
      <c r="G20">
        <v>357.94404422289</v>
      </c>
      <c r="H20">
        <f>VLOOKUP(A20&amp;B20,Sheet2!A:I,8,FALSE)</f>
        <v>357.94404422289</v>
      </c>
      <c r="I20">
        <f t="shared" si="0"/>
        <v>0</v>
      </c>
    </row>
    <row r="21" spans="1:9" x14ac:dyDescent="0.2">
      <c r="A21">
        <v>50</v>
      </c>
      <c r="B21">
        <v>5</v>
      </c>
      <c r="C21" t="s">
        <v>2</v>
      </c>
      <c r="D21" t="s">
        <v>67</v>
      </c>
      <c r="E21">
        <v>100000</v>
      </c>
      <c r="F21">
        <v>10</v>
      </c>
      <c r="G21">
        <v>531</v>
      </c>
      <c r="H21">
        <f>VLOOKUP(A21&amp;B21,Sheet2!A:I,8,FALSE)</f>
        <v>531</v>
      </c>
      <c r="I21">
        <f t="shared" si="0"/>
        <v>0</v>
      </c>
    </row>
    <row r="22" spans="1:9" x14ac:dyDescent="0.2">
      <c r="A22">
        <v>50</v>
      </c>
      <c r="B22">
        <v>6</v>
      </c>
      <c r="C22" t="s">
        <v>2</v>
      </c>
      <c r="D22" t="s">
        <v>71</v>
      </c>
      <c r="E22">
        <v>100000</v>
      </c>
      <c r="F22">
        <v>10</v>
      </c>
      <c r="G22">
        <v>276.01626420815001</v>
      </c>
      <c r="H22">
        <f>VLOOKUP(A22&amp;B22,Sheet2!A:I,8,FALSE)</f>
        <v>275.73228931258302</v>
      </c>
      <c r="I22">
        <f t="shared" si="0"/>
        <v>0.28397489556698474</v>
      </c>
    </row>
    <row r="23" spans="1:9" x14ac:dyDescent="0.2">
      <c r="A23">
        <v>50</v>
      </c>
      <c r="B23">
        <v>7</v>
      </c>
      <c r="C23" t="s">
        <v>2</v>
      </c>
      <c r="D23" t="s">
        <v>75</v>
      </c>
      <c r="E23">
        <v>100000</v>
      </c>
      <c r="F23">
        <v>10</v>
      </c>
      <c r="G23">
        <v>204.000144495554</v>
      </c>
      <c r="H23">
        <f>VLOOKUP(A23&amp;B23,Sheet2!A:I,8,FALSE)</f>
        <v>204.000144495554</v>
      </c>
      <c r="I23">
        <f t="shared" si="0"/>
        <v>0</v>
      </c>
    </row>
    <row r="24" spans="1:9" x14ac:dyDescent="0.2">
      <c r="A24">
        <v>50</v>
      </c>
      <c r="B24">
        <v>8</v>
      </c>
      <c r="C24" t="s">
        <v>2</v>
      </c>
      <c r="D24" t="s">
        <v>79</v>
      </c>
      <c r="E24">
        <v>100000</v>
      </c>
      <c r="F24">
        <v>10</v>
      </c>
      <c r="G24">
        <v>168</v>
      </c>
      <c r="H24">
        <f>VLOOKUP(A24&amp;B24,Sheet2!A:I,8,FALSE)</f>
        <v>168</v>
      </c>
      <c r="I24">
        <f t="shared" si="0"/>
        <v>0</v>
      </c>
    </row>
    <row r="25" spans="1:9" x14ac:dyDescent="0.2">
      <c r="A25">
        <v>50</v>
      </c>
      <c r="B25">
        <v>9</v>
      </c>
      <c r="C25" t="s">
        <v>2</v>
      </c>
      <c r="D25" t="s">
        <v>82</v>
      </c>
      <c r="E25">
        <v>100000</v>
      </c>
      <c r="F25">
        <v>10</v>
      </c>
      <c r="G25">
        <v>353.47810742444699</v>
      </c>
      <c r="H25">
        <f>VLOOKUP(A25&amp;B25,Sheet2!A:I,8,FALSE)</f>
        <v>353.47810742444699</v>
      </c>
      <c r="I25">
        <f t="shared" si="0"/>
        <v>0</v>
      </c>
    </row>
    <row r="26" spans="1:9" x14ac:dyDescent="0.2">
      <c r="A26">
        <v>30</v>
      </c>
      <c r="B26">
        <v>1</v>
      </c>
      <c r="C26" t="s">
        <v>4</v>
      </c>
      <c r="D26" t="s">
        <v>5</v>
      </c>
      <c r="E26">
        <v>100000</v>
      </c>
      <c r="F26">
        <v>10</v>
      </c>
      <c r="G26">
        <v>564.13478690584202</v>
      </c>
      <c r="H26">
        <f>VLOOKUP(A26&amp;B26,Sheet2!A:I,8,FALSE)</f>
        <v>564.13478690584202</v>
      </c>
      <c r="I26">
        <f t="shared" ref="I26:I49" si="1">G26-H26</f>
        <v>0</v>
      </c>
    </row>
    <row r="27" spans="1:9" x14ac:dyDescent="0.2">
      <c r="A27">
        <v>30</v>
      </c>
      <c r="B27">
        <v>2</v>
      </c>
      <c r="C27" t="s">
        <v>4</v>
      </c>
      <c r="D27" t="s">
        <v>11</v>
      </c>
      <c r="E27">
        <v>100000</v>
      </c>
      <c r="F27">
        <v>10</v>
      </c>
      <c r="G27">
        <v>463.72986594221999</v>
      </c>
      <c r="H27">
        <f>VLOOKUP(A27&amp;B27,Sheet2!A:I,8,FALSE)</f>
        <v>463.72986594221999</v>
      </c>
      <c r="I27">
        <f t="shared" si="1"/>
        <v>0</v>
      </c>
    </row>
    <row r="28" spans="1:9" x14ac:dyDescent="0.2">
      <c r="A28">
        <v>30</v>
      </c>
      <c r="B28">
        <v>3</v>
      </c>
      <c r="C28" t="s">
        <v>4</v>
      </c>
      <c r="D28" t="s">
        <v>15</v>
      </c>
      <c r="E28">
        <v>100000</v>
      </c>
      <c r="F28">
        <v>10</v>
      </c>
      <c r="G28">
        <v>275</v>
      </c>
      <c r="H28">
        <f>VLOOKUP(A28&amp;B28,Sheet2!A:I,8,FALSE)</f>
        <v>275</v>
      </c>
      <c r="I28">
        <f t="shared" si="1"/>
        <v>0</v>
      </c>
    </row>
    <row r="29" spans="1:9" x14ac:dyDescent="0.2">
      <c r="A29">
        <v>30</v>
      </c>
      <c r="B29">
        <v>4</v>
      </c>
      <c r="C29" t="s">
        <v>4</v>
      </c>
      <c r="D29" t="s">
        <v>19</v>
      </c>
      <c r="E29">
        <v>100000</v>
      </c>
      <c r="F29">
        <v>10</v>
      </c>
      <c r="G29">
        <v>397.001732613603</v>
      </c>
      <c r="H29">
        <f>VLOOKUP(A29&amp;B29,Sheet2!A:I,8,FALSE)</f>
        <v>397.001732613603</v>
      </c>
      <c r="I29">
        <f t="shared" si="1"/>
        <v>0</v>
      </c>
    </row>
    <row r="30" spans="1:9" x14ac:dyDescent="0.2">
      <c r="A30">
        <v>30</v>
      </c>
      <c r="B30">
        <v>5</v>
      </c>
      <c r="C30" t="s">
        <v>4</v>
      </c>
      <c r="D30" t="s">
        <v>23</v>
      </c>
      <c r="E30">
        <v>100000</v>
      </c>
      <c r="F30">
        <v>10</v>
      </c>
      <c r="G30">
        <v>321.39979977021602</v>
      </c>
      <c r="H30">
        <f>VLOOKUP(A30&amp;B30,Sheet2!A:I,8,FALSE)</f>
        <v>321.39979977021602</v>
      </c>
      <c r="I30">
        <f t="shared" si="1"/>
        <v>0</v>
      </c>
    </row>
    <row r="31" spans="1:9" x14ac:dyDescent="0.2">
      <c r="A31">
        <v>30</v>
      </c>
      <c r="B31">
        <v>7</v>
      </c>
      <c r="C31" t="s">
        <v>4</v>
      </c>
      <c r="D31" t="s">
        <v>27</v>
      </c>
      <c r="E31">
        <v>100000</v>
      </c>
      <c r="F31">
        <v>10</v>
      </c>
      <c r="G31">
        <v>388</v>
      </c>
      <c r="H31">
        <f>VLOOKUP(A31&amp;B31,Sheet2!A:I,8,FALSE)</f>
        <v>388</v>
      </c>
      <c r="I31">
        <f t="shared" si="1"/>
        <v>0</v>
      </c>
    </row>
    <row r="32" spans="1:9" x14ac:dyDescent="0.2">
      <c r="A32">
        <v>30</v>
      </c>
      <c r="B32">
        <v>8</v>
      </c>
      <c r="C32" t="s">
        <v>4</v>
      </c>
      <c r="D32" t="s">
        <v>30</v>
      </c>
      <c r="E32">
        <v>100000</v>
      </c>
      <c r="F32">
        <v>10</v>
      </c>
      <c r="G32">
        <v>330</v>
      </c>
      <c r="H32">
        <f>VLOOKUP(A32&amp;B32,Sheet2!A:I,8,FALSE)</f>
        <v>330</v>
      </c>
      <c r="I32">
        <f t="shared" si="1"/>
        <v>0</v>
      </c>
    </row>
    <row r="33" spans="1:9" x14ac:dyDescent="0.2">
      <c r="A33">
        <v>30</v>
      </c>
      <c r="B33">
        <v>9</v>
      </c>
      <c r="C33" t="s">
        <v>4</v>
      </c>
      <c r="D33" t="s">
        <v>33</v>
      </c>
      <c r="E33">
        <v>100000</v>
      </c>
      <c r="F33">
        <v>10</v>
      </c>
      <c r="G33">
        <v>371.009410406531</v>
      </c>
      <c r="H33">
        <f>VLOOKUP(A33&amp;B33,Sheet2!A:I,8,FALSE)</f>
        <v>371.009410406531</v>
      </c>
      <c r="I33">
        <f t="shared" si="1"/>
        <v>0</v>
      </c>
    </row>
    <row r="34" spans="1:9" x14ac:dyDescent="0.2">
      <c r="A34">
        <v>30</v>
      </c>
      <c r="B34">
        <v>10</v>
      </c>
      <c r="C34" t="s">
        <v>4</v>
      </c>
      <c r="D34" t="s">
        <v>37</v>
      </c>
      <c r="E34">
        <v>100000</v>
      </c>
      <c r="F34">
        <v>10</v>
      </c>
      <c r="G34">
        <v>688.06318745206397</v>
      </c>
      <c r="H34">
        <f>VLOOKUP(A34&amp;B34,Sheet2!A:I,8,FALSE)</f>
        <v>688.06318745206397</v>
      </c>
      <c r="I34">
        <f t="shared" si="1"/>
        <v>0</v>
      </c>
    </row>
    <row r="35" spans="1:9" x14ac:dyDescent="0.2">
      <c r="A35">
        <v>40</v>
      </c>
      <c r="B35">
        <v>1</v>
      </c>
      <c r="C35" t="s">
        <v>4</v>
      </c>
      <c r="D35" t="s">
        <v>39</v>
      </c>
      <c r="E35">
        <v>100000</v>
      </c>
      <c r="F35">
        <v>10</v>
      </c>
      <c r="G35">
        <v>509.23269528755299</v>
      </c>
      <c r="H35">
        <f>VLOOKUP(A35&amp;B35,Sheet2!A:I,8,FALSE)</f>
        <v>509.23269528755299</v>
      </c>
      <c r="I35">
        <f t="shared" si="1"/>
        <v>0</v>
      </c>
    </row>
    <row r="36" spans="1:9" x14ac:dyDescent="0.2">
      <c r="A36">
        <v>40</v>
      </c>
      <c r="B36">
        <v>2</v>
      </c>
      <c r="C36" t="s">
        <v>4</v>
      </c>
      <c r="D36" t="s">
        <v>41</v>
      </c>
      <c r="E36">
        <v>100000</v>
      </c>
      <c r="F36">
        <v>10</v>
      </c>
      <c r="G36">
        <v>496.954405994441</v>
      </c>
      <c r="H36">
        <f>VLOOKUP(A36&amp;B36,Sheet2!A:I,8,FALSE)</f>
        <v>496.954405994441</v>
      </c>
      <c r="I36">
        <f t="shared" si="1"/>
        <v>0</v>
      </c>
    </row>
    <row r="37" spans="1:9" x14ac:dyDescent="0.2">
      <c r="A37">
        <v>40</v>
      </c>
      <c r="B37">
        <v>3</v>
      </c>
      <c r="C37" t="s">
        <v>4</v>
      </c>
      <c r="D37" t="s">
        <v>43</v>
      </c>
      <c r="E37">
        <v>100000</v>
      </c>
      <c r="F37">
        <v>10</v>
      </c>
      <c r="G37">
        <v>454.51928028419798</v>
      </c>
      <c r="H37">
        <f>VLOOKUP(A37&amp;B37,Sheet2!A:I,8,FALSE)</f>
        <v>454.51928028419798</v>
      </c>
      <c r="I37">
        <f t="shared" si="1"/>
        <v>0</v>
      </c>
    </row>
    <row r="38" spans="1:9" x14ac:dyDescent="0.2">
      <c r="A38">
        <v>40</v>
      </c>
      <c r="B38">
        <v>6</v>
      </c>
      <c r="C38" t="s">
        <v>4</v>
      </c>
      <c r="D38" t="s">
        <v>46</v>
      </c>
      <c r="E38">
        <v>100000</v>
      </c>
      <c r="F38">
        <v>10</v>
      </c>
      <c r="G38">
        <v>264.13810367492403</v>
      </c>
      <c r="H38">
        <f>VLOOKUP(A38&amp;B38,Sheet2!A:I,8,FALSE)</f>
        <v>264.17242840239601</v>
      </c>
      <c r="I38">
        <f t="shared" si="1"/>
        <v>-3.4324727471982897E-2</v>
      </c>
    </row>
    <row r="39" spans="1:9" x14ac:dyDescent="0.2">
      <c r="A39">
        <v>40</v>
      </c>
      <c r="B39">
        <v>7</v>
      </c>
      <c r="C39" t="s">
        <v>4</v>
      </c>
      <c r="D39" t="s">
        <v>50</v>
      </c>
      <c r="E39">
        <v>100000</v>
      </c>
      <c r="F39">
        <v>10</v>
      </c>
      <c r="G39">
        <v>168</v>
      </c>
      <c r="H39">
        <f>VLOOKUP(A39&amp;B39,Sheet2!A:I,8,FALSE)</f>
        <v>168</v>
      </c>
      <c r="I39">
        <f t="shared" si="1"/>
        <v>0</v>
      </c>
    </row>
    <row r="40" spans="1:9" x14ac:dyDescent="0.2">
      <c r="A40">
        <v>40</v>
      </c>
      <c r="B40">
        <v>8</v>
      </c>
      <c r="C40" t="s">
        <v>4</v>
      </c>
      <c r="D40" t="s">
        <v>53</v>
      </c>
      <c r="E40">
        <v>100000</v>
      </c>
      <c r="F40">
        <v>10</v>
      </c>
      <c r="G40">
        <v>584.99393359201804</v>
      </c>
      <c r="H40">
        <f>VLOOKUP(A40&amp;B40,Sheet2!A:I,8,FALSE)</f>
        <v>584.99820484905604</v>
      </c>
      <c r="I40">
        <f t="shared" si="1"/>
        <v>-4.2712570379990211E-3</v>
      </c>
    </row>
    <row r="41" spans="1:9" x14ac:dyDescent="0.2">
      <c r="A41">
        <v>40</v>
      </c>
      <c r="B41">
        <v>9</v>
      </c>
      <c r="C41" t="s">
        <v>4</v>
      </c>
      <c r="D41" t="s">
        <v>55</v>
      </c>
      <c r="E41">
        <v>100000</v>
      </c>
      <c r="F41">
        <v>10</v>
      </c>
      <c r="G41">
        <v>458.16802167440301</v>
      </c>
      <c r="H41">
        <f>VLOOKUP(A41&amp;B41,Sheet2!A:I,8,FALSE)</f>
        <v>458.16802167440301</v>
      </c>
      <c r="I41">
        <f t="shared" si="1"/>
        <v>0</v>
      </c>
    </row>
    <row r="42" spans="1:9" x14ac:dyDescent="0.2">
      <c r="A42">
        <v>40</v>
      </c>
      <c r="B42">
        <v>10</v>
      </c>
      <c r="C42" t="s">
        <v>4</v>
      </c>
      <c r="D42" t="s">
        <v>57</v>
      </c>
      <c r="E42">
        <v>100000</v>
      </c>
      <c r="F42">
        <v>10</v>
      </c>
      <c r="G42">
        <v>486.51259095187299</v>
      </c>
      <c r="H42">
        <f>VLOOKUP(A42&amp;B42,Sheet2!A:I,8,FALSE)</f>
        <v>486.51259095187299</v>
      </c>
      <c r="I42">
        <f t="shared" si="1"/>
        <v>0</v>
      </c>
    </row>
    <row r="43" spans="1:9" x14ac:dyDescent="0.2">
      <c r="A43">
        <v>50</v>
      </c>
      <c r="B43">
        <v>3</v>
      </c>
      <c r="C43" t="s">
        <v>4</v>
      </c>
      <c r="D43" t="s">
        <v>60</v>
      </c>
      <c r="E43">
        <v>100000</v>
      </c>
      <c r="F43">
        <v>10</v>
      </c>
      <c r="G43">
        <v>361</v>
      </c>
      <c r="H43">
        <f>VLOOKUP(A43&amp;B43,Sheet2!A:I,8,FALSE)</f>
        <v>360.99828766528401</v>
      </c>
      <c r="I43">
        <f t="shared" si="1"/>
        <v>1.7123347159895275E-3</v>
      </c>
    </row>
    <row r="44" spans="1:9" x14ac:dyDescent="0.2">
      <c r="A44">
        <v>50</v>
      </c>
      <c r="B44">
        <v>4</v>
      </c>
      <c r="C44" t="s">
        <v>4</v>
      </c>
      <c r="D44" t="s">
        <v>64</v>
      </c>
      <c r="E44">
        <v>100000</v>
      </c>
      <c r="F44">
        <v>10</v>
      </c>
      <c r="G44">
        <v>357.94404422289</v>
      </c>
      <c r="H44">
        <f>VLOOKUP(A44&amp;B44,Sheet2!A:I,8,FALSE)</f>
        <v>357.94404422289</v>
      </c>
      <c r="I44">
        <f t="shared" si="1"/>
        <v>0</v>
      </c>
    </row>
    <row r="45" spans="1:9" x14ac:dyDescent="0.2">
      <c r="A45">
        <v>50</v>
      </c>
      <c r="B45">
        <v>5</v>
      </c>
      <c r="C45" t="s">
        <v>4</v>
      </c>
      <c r="D45" t="s">
        <v>68</v>
      </c>
      <c r="E45">
        <v>100000</v>
      </c>
      <c r="F45">
        <v>10</v>
      </c>
      <c r="G45">
        <v>531</v>
      </c>
      <c r="H45">
        <f>VLOOKUP(A45&amp;B45,Sheet2!A:I,8,FALSE)</f>
        <v>531</v>
      </c>
      <c r="I45">
        <f t="shared" si="1"/>
        <v>0</v>
      </c>
    </row>
    <row r="46" spans="1:9" x14ac:dyDescent="0.2">
      <c r="A46">
        <v>50</v>
      </c>
      <c r="B46">
        <v>6</v>
      </c>
      <c r="C46" t="s">
        <v>4</v>
      </c>
      <c r="D46" t="s">
        <v>72</v>
      </c>
      <c r="E46">
        <v>100000</v>
      </c>
      <c r="F46">
        <v>10</v>
      </c>
      <c r="G46">
        <v>276.01626420815001</v>
      </c>
      <c r="H46">
        <f>VLOOKUP(A46&amp;B46,Sheet2!A:I,8,FALSE)</f>
        <v>275.73228931258302</v>
      </c>
      <c r="I46">
        <f t="shared" si="1"/>
        <v>0.28397489556698474</v>
      </c>
    </row>
    <row r="47" spans="1:9" x14ac:dyDescent="0.2">
      <c r="A47">
        <v>50</v>
      </c>
      <c r="B47">
        <v>7</v>
      </c>
      <c r="C47" t="s">
        <v>4</v>
      </c>
      <c r="D47" t="s">
        <v>76</v>
      </c>
      <c r="E47">
        <v>100000</v>
      </c>
      <c r="F47">
        <v>10</v>
      </c>
      <c r="G47">
        <v>204.000144495554</v>
      </c>
      <c r="H47">
        <f>VLOOKUP(A47&amp;B47,Sheet2!A:I,8,FALSE)</f>
        <v>204.000144495554</v>
      </c>
      <c r="I47">
        <f t="shared" si="1"/>
        <v>0</v>
      </c>
    </row>
    <row r="48" spans="1:9" x14ac:dyDescent="0.2">
      <c r="A48">
        <v>50</v>
      </c>
      <c r="B48">
        <v>8</v>
      </c>
      <c r="C48" t="s">
        <v>4</v>
      </c>
      <c r="D48" t="s">
        <v>80</v>
      </c>
      <c r="E48">
        <v>100000</v>
      </c>
      <c r="F48">
        <v>10</v>
      </c>
      <c r="G48">
        <v>168</v>
      </c>
      <c r="H48">
        <f>VLOOKUP(A48&amp;B48,Sheet2!A:I,8,FALSE)</f>
        <v>168</v>
      </c>
      <c r="I48">
        <f t="shared" si="1"/>
        <v>0</v>
      </c>
    </row>
    <row r="49" spans="1:9" x14ac:dyDescent="0.2">
      <c r="A49">
        <v>50</v>
      </c>
      <c r="B49">
        <v>9</v>
      </c>
      <c r="C49" t="s">
        <v>4</v>
      </c>
      <c r="D49" t="s">
        <v>83</v>
      </c>
      <c r="E49">
        <v>100000</v>
      </c>
      <c r="F49">
        <v>10</v>
      </c>
      <c r="G49">
        <v>353.47810742444699</v>
      </c>
      <c r="H49">
        <f>VLOOKUP(A49&amp;B49,Sheet2!A:I,8,FALSE)</f>
        <v>353.47810742444699</v>
      </c>
      <c r="I49">
        <f t="shared" si="1"/>
        <v>0</v>
      </c>
    </row>
    <row r="50" spans="1:9" x14ac:dyDescent="0.2">
      <c r="A50">
        <v>30</v>
      </c>
      <c r="B50">
        <v>1</v>
      </c>
      <c r="C50" t="s">
        <v>6</v>
      </c>
      <c r="D50" t="s">
        <v>7</v>
      </c>
      <c r="E50">
        <v>100000</v>
      </c>
      <c r="F50">
        <v>10</v>
      </c>
      <c r="G50">
        <v>564.13478690584202</v>
      </c>
      <c r="H50">
        <f>VLOOKUP(A50&amp;B50,Sheet2!A:I,8,FALSE)</f>
        <v>564.13478690584202</v>
      </c>
      <c r="I50">
        <f t="shared" si="0"/>
        <v>0</v>
      </c>
    </row>
    <row r="51" spans="1:9" x14ac:dyDescent="0.2">
      <c r="A51">
        <v>30</v>
      </c>
      <c r="B51">
        <v>2</v>
      </c>
      <c r="C51" t="s">
        <v>6</v>
      </c>
      <c r="D51" t="s">
        <v>12</v>
      </c>
      <c r="E51">
        <v>100000</v>
      </c>
      <c r="F51">
        <v>10</v>
      </c>
      <c r="G51">
        <v>463.72986594221999</v>
      </c>
      <c r="H51">
        <f>VLOOKUP(A51&amp;B51,Sheet2!A:I,8,FALSE)</f>
        <v>463.72986594221999</v>
      </c>
      <c r="I51">
        <f t="shared" si="0"/>
        <v>0</v>
      </c>
    </row>
    <row r="52" spans="1:9" x14ac:dyDescent="0.2">
      <c r="A52">
        <v>30</v>
      </c>
      <c r="B52">
        <v>3</v>
      </c>
      <c r="C52" t="s">
        <v>6</v>
      </c>
      <c r="D52" t="s">
        <v>16</v>
      </c>
      <c r="E52">
        <v>100000</v>
      </c>
      <c r="F52">
        <v>10</v>
      </c>
      <c r="G52">
        <v>275</v>
      </c>
      <c r="H52">
        <f>VLOOKUP(A52&amp;B52,Sheet2!A:I,8,FALSE)</f>
        <v>275</v>
      </c>
      <c r="I52">
        <f t="shared" si="0"/>
        <v>0</v>
      </c>
    </row>
    <row r="53" spans="1:9" x14ac:dyDescent="0.2">
      <c r="A53">
        <v>30</v>
      </c>
      <c r="B53">
        <v>4</v>
      </c>
      <c r="C53" t="s">
        <v>6</v>
      </c>
      <c r="D53" t="s">
        <v>20</v>
      </c>
      <c r="E53">
        <v>100000</v>
      </c>
      <c r="F53">
        <v>10</v>
      </c>
      <c r="G53">
        <v>397.001732613603</v>
      </c>
      <c r="H53">
        <f>VLOOKUP(A53&amp;B53,Sheet2!A:I,8,FALSE)</f>
        <v>397.001732613603</v>
      </c>
      <c r="I53">
        <f t="shared" si="0"/>
        <v>0</v>
      </c>
    </row>
    <row r="54" spans="1:9" x14ac:dyDescent="0.2">
      <c r="A54">
        <v>30</v>
      </c>
      <c r="B54">
        <v>5</v>
      </c>
      <c r="C54" t="s">
        <v>6</v>
      </c>
      <c r="D54" t="s">
        <v>24</v>
      </c>
      <c r="E54">
        <v>100000</v>
      </c>
      <c r="F54">
        <v>10</v>
      </c>
      <c r="G54">
        <v>321.39979977021602</v>
      </c>
      <c r="H54">
        <f>VLOOKUP(A54&amp;B54,Sheet2!A:I,8,FALSE)</f>
        <v>321.39979977021602</v>
      </c>
      <c r="I54">
        <f t="shared" si="0"/>
        <v>0</v>
      </c>
    </row>
    <row r="55" spans="1:9" x14ac:dyDescent="0.2">
      <c r="A55">
        <v>30</v>
      </c>
      <c r="B55">
        <v>7</v>
      </c>
      <c r="C55" t="s">
        <v>6</v>
      </c>
      <c r="D55" t="s">
        <v>27</v>
      </c>
      <c r="E55">
        <v>100000</v>
      </c>
      <c r="F55">
        <v>10</v>
      </c>
      <c r="G55">
        <v>388</v>
      </c>
      <c r="H55">
        <f>VLOOKUP(A55&amp;B55,Sheet2!A:I,8,FALSE)</f>
        <v>388</v>
      </c>
      <c r="I55">
        <f t="shared" si="0"/>
        <v>0</v>
      </c>
    </row>
    <row r="56" spans="1:9" x14ac:dyDescent="0.2">
      <c r="A56">
        <v>30</v>
      </c>
      <c r="B56">
        <v>8</v>
      </c>
      <c r="C56" t="s">
        <v>6</v>
      </c>
      <c r="D56" t="s">
        <v>30</v>
      </c>
      <c r="E56">
        <v>100000</v>
      </c>
      <c r="F56">
        <v>10</v>
      </c>
      <c r="G56">
        <v>330</v>
      </c>
      <c r="H56">
        <f>VLOOKUP(A56&amp;B56,Sheet2!A:I,8,FALSE)</f>
        <v>330</v>
      </c>
      <c r="I56">
        <f t="shared" si="0"/>
        <v>0</v>
      </c>
    </row>
    <row r="57" spans="1:9" x14ac:dyDescent="0.2">
      <c r="A57">
        <v>30</v>
      </c>
      <c r="B57">
        <v>9</v>
      </c>
      <c r="C57" t="s">
        <v>6</v>
      </c>
      <c r="D57" t="s">
        <v>34</v>
      </c>
      <c r="E57">
        <v>100000</v>
      </c>
      <c r="F57">
        <v>10</v>
      </c>
      <c r="G57">
        <v>371.009410406531</v>
      </c>
      <c r="H57">
        <f>VLOOKUP(A57&amp;B57,Sheet2!A:I,8,FALSE)</f>
        <v>371.009410406531</v>
      </c>
      <c r="I57">
        <f t="shared" si="0"/>
        <v>0</v>
      </c>
    </row>
    <row r="58" spans="1:9" x14ac:dyDescent="0.2">
      <c r="A58">
        <v>30</v>
      </c>
      <c r="B58">
        <v>10</v>
      </c>
      <c r="C58" t="s">
        <v>6</v>
      </c>
      <c r="D58" t="s">
        <v>37</v>
      </c>
      <c r="E58">
        <v>100000</v>
      </c>
      <c r="F58">
        <v>10</v>
      </c>
      <c r="G58">
        <v>688.06318745206397</v>
      </c>
      <c r="H58">
        <f>VLOOKUP(A58&amp;B58,Sheet2!A:I,8,FALSE)</f>
        <v>688.06318745206397</v>
      </c>
      <c r="I58">
        <f t="shared" si="0"/>
        <v>0</v>
      </c>
    </row>
    <row r="59" spans="1:9" x14ac:dyDescent="0.2">
      <c r="A59">
        <v>40</v>
      </c>
      <c r="B59">
        <v>1</v>
      </c>
      <c r="C59" t="s">
        <v>6</v>
      </c>
      <c r="D59" t="s">
        <v>39</v>
      </c>
      <c r="E59">
        <v>100000</v>
      </c>
      <c r="F59">
        <v>10</v>
      </c>
      <c r="G59">
        <v>509.23269528755299</v>
      </c>
      <c r="H59">
        <f>VLOOKUP(A59&amp;B59,Sheet2!A:I,8,FALSE)</f>
        <v>509.23269528755299</v>
      </c>
      <c r="I59">
        <f t="shared" si="0"/>
        <v>0</v>
      </c>
    </row>
    <row r="60" spans="1:9" x14ac:dyDescent="0.2">
      <c r="A60">
        <v>40</v>
      </c>
      <c r="B60">
        <v>2</v>
      </c>
      <c r="C60" t="s">
        <v>6</v>
      </c>
      <c r="D60" t="s">
        <v>41</v>
      </c>
      <c r="E60">
        <v>100000</v>
      </c>
      <c r="F60">
        <v>10</v>
      </c>
      <c r="G60">
        <v>496.954405994441</v>
      </c>
      <c r="H60">
        <f>VLOOKUP(A60&amp;B60,Sheet2!A:I,8,FALSE)</f>
        <v>496.954405994441</v>
      </c>
      <c r="I60">
        <f t="shared" si="0"/>
        <v>0</v>
      </c>
    </row>
    <row r="61" spans="1:9" x14ac:dyDescent="0.2">
      <c r="A61">
        <v>40</v>
      </c>
      <c r="B61">
        <v>3</v>
      </c>
      <c r="C61" t="s">
        <v>6</v>
      </c>
      <c r="D61" t="s">
        <v>43</v>
      </c>
      <c r="E61">
        <v>100000</v>
      </c>
      <c r="F61">
        <v>10</v>
      </c>
      <c r="G61">
        <v>454.51928028419798</v>
      </c>
      <c r="H61">
        <f>VLOOKUP(A61&amp;B61,Sheet2!A:I,8,FALSE)</f>
        <v>454.51928028419798</v>
      </c>
      <c r="I61">
        <f t="shared" si="0"/>
        <v>0</v>
      </c>
    </row>
    <row r="62" spans="1:9" x14ac:dyDescent="0.2">
      <c r="A62">
        <v>40</v>
      </c>
      <c r="B62">
        <v>6</v>
      </c>
      <c r="C62" t="s">
        <v>6</v>
      </c>
      <c r="D62" t="s">
        <v>47</v>
      </c>
      <c r="E62">
        <v>100000</v>
      </c>
      <c r="F62">
        <v>10</v>
      </c>
      <c r="G62">
        <v>264.17242840239601</v>
      </c>
      <c r="H62">
        <f>VLOOKUP(A62&amp;B62,Sheet2!A:I,8,FALSE)</f>
        <v>264.17242840239601</v>
      </c>
      <c r="I62">
        <f t="shared" si="0"/>
        <v>0</v>
      </c>
    </row>
    <row r="63" spans="1:9" x14ac:dyDescent="0.2">
      <c r="A63">
        <v>40</v>
      </c>
      <c r="B63">
        <v>7</v>
      </c>
      <c r="C63" t="s">
        <v>6</v>
      </c>
      <c r="D63" t="s">
        <v>50</v>
      </c>
      <c r="E63">
        <v>100000</v>
      </c>
      <c r="F63">
        <v>10</v>
      </c>
      <c r="G63">
        <v>168</v>
      </c>
      <c r="H63">
        <f>VLOOKUP(A63&amp;B63,Sheet2!A:I,8,FALSE)</f>
        <v>168</v>
      </c>
      <c r="I63">
        <f t="shared" si="0"/>
        <v>0</v>
      </c>
    </row>
    <row r="64" spans="1:9" x14ac:dyDescent="0.2">
      <c r="A64">
        <v>40</v>
      </c>
      <c r="B64">
        <v>8</v>
      </c>
      <c r="C64" t="s">
        <v>6</v>
      </c>
      <c r="D64" t="s">
        <v>53</v>
      </c>
      <c r="E64">
        <v>100000</v>
      </c>
      <c r="F64">
        <v>10</v>
      </c>
      <c r="G64">
        <v>584.99393359201804</v>
      </c>
      <c r="H64">
        <f>VLOOKUP(A64&amp;B64,Sheet2!A:I,8,FALSE)</f>
        <v>584.99820484905604</v>
      </c>
      <c r="I64">
        <f t="shared" si="0"/>
        <v>-4.2712570379990211E-3</v>
      </c>
    </row>
    <row r="65" spans="1:9" x14ac:dyDescent="0.2">
      <c r="A65">
        <v>40</v>
      </c>
      <c r="B65">
        <v>9</v>
      </c>
      <c r="C65" t="s">
        <v>6</v>
      </c>
      <c r="D65" t="s">
        <v>55</v>
      </c>
      <c r="E65">
        <v>100000</v>
      </c>
      <c r="F65">
        <v>10</v>
      </c>
      <c r="G65">
        <v>458.16802167440301</v>
      </c>
      <c r="H65">
        <f>VLOOKUP(A65&amp;B65,Sheet2!A:I,8,FALSE)</f>
        <v>458.16802167440301</v>
      </c>
      <c r="I65">
        <f t="shared" si="0"/>
        <v>0</v>
      </c>
    </row>
    <row r="66" spans="1:9" x14ac:dyDescent="0.2">
      <c r="A66">
        <v>40</v>
      </c>
      <c r="B66">
        <v>10</v>
      </c>
      <c r="C66" t="s">
        <v>6</v>
      </c>
      <c r="D66" t="s">
        <v>57</v>
      </c>
      <c r="E66">
        <v>100000</v>
      </c>
      <c r="F66">
        <v>10</v>
      </c>
      <c r="G66">
        <v>486.51259095187299</v>
      </c>
      <c r="H66">
        <f>VLOOKUP(A66&amp;B66,Sheet2!A:I,8,FALSE)</f>
        <v>486.51259095187299</v>
      </c>
      <c r="I66">
        <f t="shared" si="0"/>
        <v>0</v>
      </c>
    </row>
    <row r="67" spans="1:9" x14ac:dyDescent="0.2">
      <c r="A67">
        <v>50</v>
      </c>
      <c r="B67">
        <v>3</v>
      </c>
      <c r="C67" t="s">
        <v>6</v>
      </c>
      <c r="D67" t="s">
        <v>61</v>
      </c>
      <c r="E67">
        <v>100000</v>
      </c>
      <c r="F67">
        <v>10</v>
      </c>
      <c r="G67">
        <v>361</v>
      </c>
      <c r="H67">
        <f>VLOOKUP(A67&amp;B67,Sheet2!A:I,8,FALSE)</f>
        <v>360.99828766528401</v>
      </c>
      <c r="I67">
        <f t="shared" ref="I67:I97" si="2">G67-H67</f>
        <v>1.7123347159895275E-3</v>
      </c>
    </row>
    <row r="68" spans="1:9" x14ac:dyDescent="0.2">
      <c r="A68">
        <v>50</v>
      </c>
      <c r="B68">
        <v>4</v>
      </c>
      <c r="C68" t="s">
        <v>6</v>
      </c>
      <c r="D68" t="s">
        <v>65</v>
      </c>
      <c r="E68">
        <v>100000</v>
      </c>
      <c r="F68">
        <v>10</v>
      </c>
      <c r="G68">
        <v>357.94404422289</v>
      </c>
      <c r="H68">
        <f>VLOOKUP(A68&amp;B68,Sheet2!A:I,8,FALSE)</f>
        <v>357.94404422289</v>
      </c>
      <c r="I68">
        <f t="shared" si="2"/>
        <v>0</v>
      </c>
    </row>
    <row r="69" spans="1:9" x14ac:dyDescent="0.2">
      <c r="A69">
        <v>50</v>
      </c>
      <c r="B69">
        <v>5</v>
      </c>
      <c r="C69" t="s">
        <v>6</v>
      </c>
      <c r="D69" t="s">
        <v>69</v>
      </c>
      <c r="E69">
        <v>100000</v>
      </c>
      <c r="F69">
        <v>10</v>
      </c>
      <c r="G69">
        <v>531</v>
      </c>
      <c r="H69">
        <f>VLOOKUP(A69&amp;B69,Sheet2!A:I,8,FALSE)</f>
        <v>531</v>
      </c>
      <c r="I69">
        <f t="shared" si="2"/>
        <v>0</v>
      </c>
    </row>
    <row r="70" spans="1:9" x14ac:dyDescent="0.2">
      <c r="A70">
        <v>50</v>
      </c>
      <c r="B70">
        <v>6</v>
      </c>
      <c r="C70" t="s">
        <v>6</v>
      </c>
      <c r="D70" t="s">
        <v>73</v>
      </c>
      <c r="E70">
        <v>100000</v>
      </c>
      <c r="F70">
        <v>10</v>
      </c>
      <c r="G70">
        <v>276.01626420815001</v>
      </c>
      <c r="H70">
        <f>VLOOKUP(A70&amp;B70,Sheet2!A:I,8,FALSE)</f>
        <v>275.73228931258302</v>
      </c>
      <c r="I70">
        <f t="shared" si="2"/>
        <v>0.28397489556698474</v>
      </c>
    </row>
    <row r="71" spans="1:9" x14ac:dyDescent="0.2">
      <c r="A71">
        <v>50</v>
      </c>
      <c r="B71">
        <v>7</v>
      </c>
      <c r="C71" t="s">
        <v>6</v>
      </c>
      <c r="D71" t="s">
        <v>77</v>
      </c>
      <c r="E71">
        <v>100000</v>
      </c>
      <c r="F71">
        <v>10</v>
      </c>
      <c r="G71">
        <v>204.000144495554</v>
      </c>
      <c r="H71">
        <f>VLOOKUP(A71&amp;B71,Sheet2!A:I,8,FALSE)</f>
        <v>204.000144495554</v>
      </c>
      <c r="I71">
        <f t="shared" si="2"/>
        <v>0</v>
      </c>
    </row>
    <row r="72" spans="1:9" x14ac:dyDescent="0.2">
      <c r="A72">
        <v>50</v>
      </c>
      <c r="B72">
        <v>8</v>
      </c>
      <c r="C72" t="s">
        <v>6</v>
      </c>
      <c r="D72" t="s">
        <v>81</v>
      </c>
      <c r="E72">
        <v>100000</v>
      </c>
      <c r="F72">
        <v>10</v>
      </c>
      <c r="G72">
        <v>168</v>
      </c>
      <c r="H72">
        <f>VLOOKUP(A72&amp;B72,Sheet2!A:I,8,FALSE)</f>
        <v>168</v>
      </c>
      <c r="I72">
        <f t="shared" si="2"/>
        <v>0</v>
      </c>
    </row>
    <row r="73" spans="1:9" x14ac:dyDescent="0.2">
      <c r="A73">
        <v>50</v>
      </c>
      <c r="B73">
        <v>9</v>
      </c>
      <c r="C73" t="s">
        <v>6</v>
      </c>
      <c r="D73" t="s">
        <v>83</v>
      </c>
      <c r="E73">
        <v>100000</v>
      </c>
      <c r="F73">
        <v>10</v>
      </c>
      <c r="G73">
        <v>353.47810742444699</v>
      </c>
      <c r="H73">
        <f>VLOOKUP(A73&amp;B73,Sheet2!A:I,8,FALSE)</f>
        <v>353.47810742444699</v>
      </c>
      <c r="I73">
        <f t="shared" si="2"/>
        <v>0</v>
      </c>
    </row>
    <row r="74" spans="1:9" x14ac:dyDescent="0.2">
      <c r="A74">
        <v>30</v>
      </c>
      <c r="B74">
        <v>1</v>
      </c>
      <c r="C74" t="s">
        <v>8</v>
      </c>
      <c r="D74" t="s">
        <v>5</v>
      </c>
      <c r="E74">
        <v>100000</v>
      </c>
      <c r="F74">
        <v>10</v>
      </c>
      <c r="G74">
        <v>564.13478690584202</v>
      </c>
      <c r="H74">
        <f>VLOOKUP(A74&amp;B74,Sheet2!A:I,8,FALSE)</f>
        <v>564.13478690584202</v>
      </c>
      <c r="I74">
        <f t="shared" si="2"/>
        <v>0</v>
      </c>
    </row>
    <row r="75" spans="1:9" x14ac:dyDescent="0.2">
      <c r="A75">
        <v>30</v>
      </c>
      <c r="B75">
        <v>2</v>
      </c>
      <c r="C75" t="s">
        <v>8</v>
      </c>
      <c r="D75" t="s">
        <v>84</v>
      </c>
      <c r="E75">
        <v>100000</v>
      </c>
      <c r="F75">
        <v>10</v>
      </c>
      <c r="G75">
        <v>463.72986594221999</v>
      </c>
      <c r="H75">
        <f>VLOOKUP(A75&amp;B75,Sheet2!A:I,8,FALSE)</f>
        <v>463.72986594221999</v>
      </c>
      <c r="I75">
        <f t="shared" si="2"/>
        <v>0</v>
      </c>
    </row>
    <row r="76" spans="1:9" x14ac:dyDescent="0.2">
      <c r="A76">
        <v>30</v>
      </c>
      <c r="B76">
        <v>3</v>
      </c>
      <c r="C76" t="s">
        <v>8</v>
      </c>
      <c r="D76" t="s">
        <v>15</v>
      </c>
      <c r="E76">
        <v>100000</v>
      </c>
      <c r="F76">
        <v>10</v>
      </c>
      <c r="G76">
        <v>275</v>
      </c>
      <c r="H76">
        <f>VLOOKUP(A76&amp;B76,Sheet2!A:I,8,FALSE)</f>
        <v>275</v>
      </c>
      <c r="I76">
        <f t="shared" si="2"/>
        <v>0</v>
      </c>
    </row>
    <row r="77" spans="1:9" x14ac:dyDescent="0.2">
      <c r="A77">
        <v>30</v>
      </c>
      <c r="B77">
        <v>4</v>
      </c>
      <c r="C77" t="s">
        <v>8</v>
      </c>
      <c r="D77" t="s">
        <v>85</v>
      </c>
      <c r="E77">
        <v>100000</v>
      </c>
      <c r="F77">
        <v>10</v>
      </c>
      <c r="G77">
        <v>397.001732613603</v>
      </c>
      <c r="H77">
        <f>VLOOKUP(A77&amp;B77,Sheet2!A:I,8,FALSE)</f>
        <v>397.001732613603</v>
      </c>
      <c r="I77">
        <f t="shared" si="2"/>
        <v>0</v>
      </c>
    </row>
    <row r="78" spans="1:9" x14ac:dyDescent="0.2">
      <c r="A78">
        <v>30</v>
      </c>
      <c r="B78">
        <v>5</v>
      </c>
      <c r="C78" t="s">
        <v>8</v>
      </c>
      <c r="D78" t="s">
        <v>23</v>
      </c>
      <c r="E78">
        <v>100000</v>
      </c>
      <c r="F78">
        <v>10</v>
      </c>
      <c r="G78">
        <v>321.39979977021602</v>
      </c>
      <c r="H78">
        <f>VLOOKUP(A78&amp;B78,Sheet2!A:I,8,FALSE)</f>
        <v>321.39979977021602</v>
      </c>
      <c r="I78">
        <f t="shared" si="2"/>
        <v>0</v>
      </c>
    </row>
    <row r="79" spans="1:9" x14ac:dyDescent="0.2">
      <c r="A79">
        <v>30</v>
      </c>
      <c r="B79">
        <v>7</v>
      </c>
      <c r="C79" t="s">
        <v>8</v>
      </c>
      <c r="D79" t="s">
        <v>27</v>
      </c>
      <c r="E79">
        <v>100000</v>
      </c>
      <c r="F79">
        <v>10</v>
      </c>
      <c r="G79">
        <v>388</v>
      </c>
      <c r="H79">
        <f>VLOOKUP(A79&amp;B79,Sheet2!A:I,8,FALSE)</f>
        <v>388</v>
      </c>
      <c r="I79">
        <f t="shared" si="2"/>
        <v>0</v>
      </c>
    </row>
    <row r="80" spans="1:9" x14ac:dyDescent="0.2">
      <c r="A80">
        <v>30</v>
      </c>
      <c r="B80">
        <v>8</v>
      </c>
      <c r="C80" t="s">
        <v>8</v>
      </c>
      <c r="D80" t="s">
        <v>30</v>
      </c>
      <c r="E80">
        <v>100000</v>
      </c>
      <c r="F80">
        <v>10</v>
      </c>
      <c r="G80">
        <v>330</v>
      </c>
      <c r="H80">
        <f>VLOOKUP(A80&amp;B80,Sheet2!A:I,8,FALSE)</f>
        <v>330</v>
      </c>
      <c r="I80">
        <f t="shared" si="2"/>
        <v>0</v>
      </c>
    </row>
    <row r="81" spans="1:9" x14ac:dyDescent="0.2">
      <c r="A81">
        <v>30</v>
      </c>
      <c r="B81">
        <v>9</v>
      </c>
      <c r="C81" t="s">
        <v>8</v>
      </c>
      <c r="D81" t="s">
        <v>33</v>
      </c>
      <c r="E81">
        <v>100000</v>
      </c>
      <c r="F81">
        <v>10</v>
      </c>
      <c r="G81">
        <v>371.009410406531</v>
      </c>
      <c r="H81">
        <f>VLOOKUP(A81&amp;B81,Sheet2!A:I,8,FALSE)</f>
        <v>371.009410406531</v>
      </c>
      <c r="I81">
        <f t="shared" si="2"/>
        <v>0</v>
      </c>
    </row>
    <row r="82" spans="1:9" x14ac:dyDescent="0.2">
      <c r="A82">
        <v>30</v>
      </c>
      <c r="B82">
        <v>10</v>
      </c>
      <c r="C82" t="s">
        <v>8</v>
      </c>
      <c r="D82" t="s">
        <v>37</v>
      </c>
      <c r="E82">
        <v>100000</v>
      </c>
      <c r="F82">
        <v>10</v>
      </c>
      <c r="G82">
        <v>688.06318745206397</v>
      </c>
      <c r="H82">
        <f>VLOOKUP(A82&amp;B82,Sheet2!A:I,8,FALSE)</f>
        <v>688.06318745206397</v>
      </c>
      <c r="I82">
        <f t="shared" si="2"/>
        <v>0</v>
      </c>
    </row>
    <row r="83" spans="1:9" x14ac:dyDescent="0.2">
      <c r="A83">
        <v>40</v>
      </c>
      <c r="B83">
        <v>1</v>
      </c>
      <c r="C83" t="s">
        <v>8</v>
      </c>
      <c r="D83" t="s">
        <v>39</v>
      </c>
      <c r="E83">
        <v>100000</v>
      </c>
      <c r="F83">
        <v>10</v>
      </c>
      <c r="G83">
        <v>509.23269528755299</v>
      </c>
      <c r="H83">
        <f>VLOOKUP(A83&amp;B83,Sheet2!A:I,8,FALSE)</f>
        <v>509.23269528755299</v>
      </c>
      <c r="I83">
        <f t="shared" si="2"/>
        <v>0</v>
      </c>
    </row>
    <row r="84" spans="1:9" x14ac:dyDescent="0.2">
      <c r="A84">
        <v>40</v>
      </c>
      <c r="B84">
        <v>2</v>
      </c>
      <c r="C84" t="s">
        <v>8</v>
      </c>
      <c r="D84" t="s">
        <v>41</v>
      </c>
      <c r="E84">
        <v>100000</v>
      </c>
      <c r="F84">
        <v>10</v>
      </c>
      <c r="G84">
        <v>496.954405994441</v>
      </c>
      <c r="H84">
        <f>VLOOKUP(A84&amp;B84,Sheet2!A:I,8,FALSE)</f>
        <v>496.954405994441</v>
      </c>
      <c r="I84">
        <f t="shared" si="2"/>
        <v>0</v>
      </c>
    </row>
    <row r="85" spans="1:9" x14ac:dyDescent="0.2">
      <c r="A85">
        <v>40</v>
      </c>
      <c r="B85">
        <v>3</v>
      </c>
      <c r="C85" t="s">
        <v>8</v>
      </c>
      <c r="D85" t="s">
        <v>43</v>
      </c>
      <c r="E85">
        <v>100000</v>
      </c>
      <c r="F85">
        <v>10</v>
      </c>
      <c r="G85">
        <v>454.51928028419798</v>
      </c>
      <c r="H85">
        <f>VLOOKUP(A85&amp;B85,Sheet2!A:I,8,FALSE)</f>
        <v>454.51928028419798</v>
      </c>
      <c r="I85">
        <f t="shared" si="2"/>
        <v>0</v>
      </c>
    </row>
    <row r="86" spans="1:9" x14ac:dyDescent="0.2">
      <c r="A86">
        <v>40</v>
      </c>
      <c r="B86">
        <v>6</v>
      </c>
      <c r="C86" t="s">
        <v>8</v>
      </c>
      <c r="D86" t="s">
        <v>89</v>
      </c>
      <c r="E86">
        <v>100000</v>
      </c>
      <c r="F86">
        <v>10</v>
      </c>
      <c r="G86">
        <v>264.09418410242102</v>
      </c>
      <c r="H86">
        <f>VLOOKUP(A86&amp;B86,Sheet2!A:I,8,FALSE)</f>
        <v>264.17242840239601</v>
      </c>
      <c r="I86">
        <f t="shared" si="2"/>
        <v>-7.8244299974983278E-2</v>
      </c>
    </row>
    <row r="87" spans="1:9" x14ac:dyDescent="0.2">
      <c r="A87">
        <v>40</v>
      </c>
      <c r="B87">
        <v>7</v>
      </c>
      <c r="C87" t="s">
        <v>8</v>
      </c>
      <c r="D87" t="s">
        <v>50</v>
      </c>
      <c r="E87">
        <v>100000</v>
      </c>
      <c r="F87">
        <v>10</v>
      </c>
      <c r="G87">
        <v>168</v>
      </c>
      <c r="H87">
        <f>VLOOKUP(A87&amp;B87,Sheet2!A:I,8,FALSE)</f>
        <v>168</v>
      </c>
      <c r="I87">
        <f t="shared" si="2"/>
        <v>0</v>
      </c>
    </row>
    <row r="88" spans="1:9" x14ac:dyDescent="0.2">
      <c r="A88">
        <v>40</v>
      </c>
      <c r="B88">
        <v>8</v>
      </c>
      <c r="C88" t="s">
        <v>8</v>
      </c>
      <c r="D88" t="s">
        <v>90</v>
      </c>
      <c r="E88">
        <v>100000</v>
      </c>
      <c r="F88">
        <v>10</v>
      </c>
      <c r="G88">
        <v>584.99393359201804</v>
      </c>
      <c r="H88">
        <f>VLOOKUP(A88&amp;B88,Sheet2!A:I,8,FALSE)</f>
        <v>584.99820484905604</v>
      </c>
      <c r="I88">
        <f t="shared" si="2"/>
        <v>-4.2712570379990211E-3</v>
      </c>
    </row>
    <row r="89" spans="1:9" x14ac:dyDescent="0.2">
      <c r="A89">
        <v>40</v>
      </c>
      <c r="B89">
        <v>9</v>
      </c>
      <c r="C89" t="s">
        <v>8</v>
      </c>
      <c r="D89" t="s">
        <v>91</v>
      </c>
      <c r="E89">
        <v>100000</v>
      </c>
      <c r="F89">
        <v>10</v>
      </c>
      <c r="G89">
        <v>458.16802167440301</v>
      </c>
      <c r="H89">
        <f>VLOOKUP(A89&amp;B89,Sheet2!A:I,8,FALSE)</f>
        <v>458.16802167440301</v>
      </c>
      <c r="I89">
        <f t="shared" si="2"/>
        <v>0</v>
      </c>
    </row>
    <row r="90" spans="1:9" x14ac:dyDescent="0.2">
      <c r="A90">
        <v>40</v>
      </c>
      <c r="B90">
        <v>10</v>
      </c>
      <c r="C90" t="s">
        <v>8</v>
      </c>
      <c r="D90" t="s">
        <v>57</v>
      </c>
      <c r="E90">
        <v>100000</v>
      </c>
      <c r="F90">
        <v>10</v>
      </c>
      <c r="G90">
        <v>486.51259095187299</v>
      </c>
      <c r="H90">
        <f>VLOOKUP(A90&amp;B90,Sheet2!A:I,8,FALSE)</f>
        <v>486.51259095187299</v>
      </c>
      <c r="I90">
        <f t="shared" si="2"/>
        <v>0</v>
      </c>
    </row>
    <row r="91" spans="1:9" x14ac:dyDescent="0.2">
      <c r="A91">
        <v>50</v>
      </c>
      <c r="B91">
        <v>3</v>
      </c>
      <c r="C91" t="s">
        <v>8</v>
      </c>
      <c r="D91" t="s">
        <v>94</v>
      </c>
      <c r="E91">
        <v>100000</v>
      </c>
      <c r="F91">
        <v>10</v>
      </c>
      <c r="G91">
        <v>361</v>
      </c>
      <c r="H91">
        <f>VLOOKUP(A91&amp;B91,Sheet2!A:I,8,FALSE)</f>
        <v>360.99828766528401</v>
      </c>
      <c r="I91">
        <f t="shared" si="2"/>
        <v>1.7123347159895275E-3</v>
      </c>
    </row>
    <row r="92" spans="1:9" x14ac:dyDescent="0.2">
      <c r="A92">
        <v>50</v>
      </c>
      <c r="B92">
        <v>4</v>
      </c>
      <c r="C92" t="s">
        <v>8</v>
      </c>
      <c r="D92" t="s">
        <v>65</v>
      </c>
      <c r="E92">
        <v>100000</v>
      </c>
      <c r="F92">
        <v>10</v>
      </c>
      <c r="G92">
        <v>357.94404422289</v>
      </c>
      <c r="H92">
        <f>VLOOKUP(A92&amp;B92,Sheet2!A:I,8,FALSE)</f>
        <v>357.94404422289</v>
      </c>
      <c r="I92">
        <f t="shared" si="2"/>
        <v>0</v>
      </c>
    </row>
    <row r="93" spans="1:9" x14ac:dyDescent="0.2">
      <c r="A93">
        <v>50</v>
      </c>
      <c r="B93">
        <v>5</v>
      </c>
      <c r="C93" t="s">
        <v>8</v>
      </c>
      <c r="D93" t="s">
        <v>95</v>
      </c>
      <c r="E93">
        <v>100000</v>
      </c>
      <c r="F93">
        <v>10</v>
      </c>
      <c r="G93">
        <v>530.87182810629895</v>
      </c>
      <c r="H93">
        <f>VLOOKUP(A93&amp;B93,Sheet2!A:I,8,FALSE)</f>
        <v>531</v>
      </c>
      <c r="I93">
        <f t="shared" si="2"/>
        <v>-0.12817189370105098</v>
      </c>
    </row>
    <row r="94" spans="1:9" x14ac:dyDescent="0.2">
      <c r="A94">
        <v>50</v>
      </c>
      <c r="B94">
        <v>6</v>
      </c>
      <c r="C94" t="s">
        <v>8</v>
      </c>
      <c r="D94" t="s">
        <v>73</v>
      </c>
      <c r="E94">
        <v>100000</v>
      </c>
      <c r="F94">
        <v>10</v>
      </c>
      <c r="G94">
        <v>276.01626420815001</v>
      </c>
      <c r="H94">
        <f>VLOOKUP(A94&amp;B94,Sheet2!A:I,8,FALSE)</f>
        <v>275.73228931258302</v>
      </c>
      <c r="I94">
        <f t="shared" si="2"/>
        <v>0.28397489556698474</v>
      </c>
    </row>
    <row r="95" spans="1:9" x14ac:dyDescent="0.2">
      <c r="A95">
        <v>50</v>
      </c>
      <c r="B95">
        <v>7</v>
      </c>
      <c r="C95" t="s">
        <v>8</v>
      </c>
      <c r="D95" t="s">
        <v>96</v>
      </c>
      <c r="E95">
        <v>100000</v>
      </c>
      <c r="F95">
        <v>10</v>
      </c>
      <c r="G95">
        <v>204.000144495554</v>
      </c>
      <c r="H95">
        <f>VLOOKUP(A95&amp;B95,Sheet2!A:I,8,FALSE)</f>
        <v>204.000144495554</v>
      </c>
      <c r="I95">
        <f t="shared" si="2"/>
        <v>0</v>
      </c>
    </row>
    <row r="96" spans="1:9" x14ac:dyDescent="0.2">
      <c r="A96">
        <v>50</v>
      </c>
      <c r="B96">
        <v>8</v>
      </c>
      <c r="C96" t="s">
        <v>8</v>
      </c>
      <c r="D96" t="s">
        <v>80</v>
      </c>
      <c r="E96">
        <v>100000</v>
      </c>
      <c r="F96">
        <v>10</v>
      </c>
      <c r="G96">
        <v>168</v>
      </c>
      <c r="H96">
        <f>VLOOKUP(A96&amp;B96,Sheet2!A:I,8,FALSE)</f>
        <v>168</v>
      </c>
      <c r="I96">
        <f t="shared" si="2"/>
        <v>0</v>
      </c>
    </row>
    <row r="97" spans="1:9" x14ac:dyDescent="0.2">
      <c r="A97">
        <v>50</v>
      </c>
      <c r="B97">
        <v>9</v>
      </c>
      <c r="C97" t="s">
        <v>8</v>
      </c>
      <c r="D97" t="s">
        <v>83</v>
      </c>
      <c r="E97">
        <v>100000</v>
      </c>
      <c r="F97">
        <v>10</v>
      </c>
      <c r="G97">
        <v>353.47810742444699</v>
      </c>
      <c r="H97">
        <f>VLOOKUP(A97&amp;B97,Sheet2!A:I,8,FALSE)</f>
        <v>353.47810742444699</v>
      </c>
      <c r="I97">
        <f t="shared" si="2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0877-0A5A-AC49-B6C9-289A812A988B}">
  <dimension ref="A1:J11"/>
  <sheetViews>
    <sheetView workbookViewId="0">
      <selection activeCell="I11" sqref="I11"/>
    </sheetView>
  </sheetViews>
  <sheetFormatPr baseColWidth="10" defaultRowHeight="16" x14ac:dyDescent="0.2"/>
  <cols>
    <col min="5" max="5" width="12.1640625" customWidth="1"/>
    <col min="10" max="10" width="16" bestFit="1" customWidth="1"/>
  </cols>
  <sheetData>
    <row r="1" spans="1:10" x14ac:dyDescent="0.2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107</v>
      </c>
      <c r="I1" t="s">
        <v>108</v>
      </c>
      <c r="J1" t="s">
        <v>114</v>
      </c>
    </row>
    <row r="2" spans="1:10" x14ac:dyDescent="0.2">
      <c r="A2">
        <v>40</v>
      </c>
      <c r="B2">
        <v>10</v>
      </c>
      <c r="C2" t="s">
        <v>4</v>
      </c>
      <c r="D2" t="s">
        <v>57</v>
      </c>
      <c r="E2">
        <v>100000</v>
      </c>
      <c r="F2">
        <v>10</v>
      </c>
      <c r="G2">
        <v>486.51259095187299</v>
      </c>
      <c r="H2">
        <v>486.51259095187299</v>
      </c>
      <c r="I2">
        <v>0</v>
      </c>
      <c r="J2">
        <f>Table2[[#This Row],[Diff Obj]]/Table2[[#This Row],[vs xMain]]</f>
        <v>0</v>
      </c>
    </row>
    <row r="3" spans="1:10" x14ac:dyDescent="0.2">
      <c r="A3">
        <v>40</v>
      </c>
      <c r="B3">
        <v>9</v>
      </c>
      <c r="C3" t="s">
        <v>4</v>
      </c>
      <c r="D3" t="s">
        <v>55</v>
      </c>
      <c r="E3">
        <v>100000</v>
      </c>
      <c r="F3">
        <v>10</v>
      </c>
      <c r="G3">
        <v>458.16802167440301</v>
      </c>
      <c r="H3">
        <v>458.16802167440301</v>
      </c>
      <c r="I3">
        <v>0</v>
      </c>
      <c r="J3">
        <f>Table2[[#This Row],[Diff Obj]]/Table2[[#This Row],[vs xMain]]</f>
        <v>0</v>
      </c>
    </row>
    <row r="4" spans="1:10" x14ac:dyDescent="0.2">
      <c r="A4">
        <v>40</v>
      </c>
      <c r="B4">
        <v>8</v>
      </c>
      <c r="C4" t="s">
        <v>4</v>
      </c>
      <c r="D4" t="s">
        <v>53</v>
      </c>
      <c r="E4">
        <v>100000</v>
      </c>
      <c r="F4">
        <v>10</v>
      </c>
      <c r="G4">
        <v>584.99393359201804</v>
      </c>
      <c r="H4">
        <v>584.99820484905604</v>
      </c>
      <c r="I4">
        <v>-4.2712570379990211E-3</v>
      </c>
      <c r="J4">
        <f>Table2[[#This Row],[Diff Obj]]/Table2[[#This Row],[vs xMain]]</f>
        <v>-7.3013164871182992E-6</v>
      </c>
    </row>
    <row r="5" spans="1:10" x14ac:dyDescent="0.2">
      <c r="A5">
        <v>40</v>
      </c>
      <c r="B5">
        <v>7</v>
      </c>
      <c r="C5" t="s">
        <v>4</v>
      </c>
      <c r="D5" t="s">
        <v>50</v>
      </c>
      <c r="E5">
        <v>100000</v>
      </c>
      <c r="F5">
        <v>10</v>
      </c>
      <c r="G5">
        <v>168</v>
      </c>
      <c r="H5">
        <v>168</v>
      </c>
      <c r="I5">
        <v>0</v>
      </c>
      <c r="J5">
        <f>Table2[[#This Row],[Diff Obj]]/Table2[[#This Row],[vs xMain]]</f>
        <v>0</v>
      </c>
    </row>
    <row r="6" spans="1:10" x14ac:dyDescent="0.2">
      <c r="A6">
        <v>40</v>
      </c>
      <c r="B6">
        <v>6</v>
      </c>
      <c r="C6" t="s">
        <v>4</v>
      </c>
      <c r="D6" t="s">
        <v>46</v>
      </c>
      <c r="E6">
        <v>100000</v>
      </c>
      <c r="F6">
        <v>10</v>
      </c>
      <c r="G6">
        <v>264.13810367492403</v>
      </c>
      <c r="H6">
        <v>264.17242840239601</v>
      </c>
      <c r="I6">
        <v>-3.4324727471982897E-2</v>
      </c>
      <c r="J6">
        <f>Table2[[#This Row],[Diff Obj]]/Table2[[#This Row],[vs xMain]]</f>
        <v>-1.2993304289764243E-4</v>
      </c>
    </row>
    <row r="7" spans="1:10" x14ac:dyDescent="0.2">
      <c r="A7">
        <v>40</v>
      </c>
      <c r="B7">
        <v>3</v>
      </c>
      <c r="C7" t="s">
        <v>4</v>
      </c>
      <c r="D7" t="s">
        <v>43</v>
      </c>
      <c r="E7">
        <v>100000</v>
      </c>
      <c r="F7">
        <v>10</v>
      </c>
      <c r="G7">
        <v>454.51928028419798</v>
      </c>
      <c r="H7">
        <v>454.51928028419798</v>
      </c>
      <c r="I7">
        <v>0</v>
      </c>
      <c r="J7">
        <f>Table2[[#This Row],[Diff Obj]]/Table2[[#This Row],[vs xMain]]</f>
        <v>0</v>
      </c>
    </row>
    <row r="8" spans="1:10" x14ac:dyDescent="0.2">
      <c r="A8">
        <v>40</v>
      </c>
      <c r="B8">
        <v>2</v>
      </c>
      <c r="C8" t="s">
        <v>4</v>
      </c>
      <c r="D8" t="s">
        <v>41</v>
      </c>
      <c r="E8">
        <v>100000</v>
      </c>
      <c r="F8">
        <v>10</v>
      </c>
      <c r="G8">
        <v>496.954405994441</v>
      </c>
      <c r="H8">
        <v>496.954405994441</v>
      </c>
      <c r="I8">
        <v>0</v>
      </c>
      <c r="J8">
        <f>Table2[[#This Row],[Diff Obj]]/Table2[[#This Row],[vs xMain]]</f>
        <v>0</v>
      </c>
    </row>
    <row r="9" spans="1:10" x14ac:dyDescent="0.2">
      <c r="A9">
        <v>40</v>
      </c>
      <c r="B9">
        <v>1</v>
      </c>
      <c r="C9" t="s">
        <v>4</v>
      </c>
      <c r="D9" t="s">
        <v>39</v>
      </c>
      <c r="E9">
        <v>100000</v>
      </c>
      <c r="F9">
        <v>10</v>
      </c>
      <c r="G9">
        <v>509.23269528755299</v>
      </c>
      <c r="H9">
        <v>509.23269528755299</v>
      </c>
      <c r="I9">
        <v>0</v>
      </c>
      <c r="J9">
        <f>Table2[[#This Row],[Diff Obj]]/Table2[[#This Row],[vs xMain]]</f>
        <v>0</v>
      </c>
    </row>
    <row r="11" spans="1:10" x14ac:dyDescent="0.2">
      <c r="I11" s="6">
        <f>AVERAGE(Table2[Diff Obj])</f>
        <v>-4.8244980637477397E-3</v>
      </c>
      <c r="J11" s="5">
        <f>AVERAGE(Table2[Column1])</f>
        <v>-1.7154294923095093E-5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6AAB-01AF-2143-8446-3D6E9BB6E251}">
  <dimension ref="A1:J11"/>
  <sheetViews>
    <sheetView workbookViewId="0">
      <selection activeCell="A9" sqref="A2:A9"/>
    </sheetView>
  </sheetViews>
  <sheetFormatPr baseColWidth="10" defaultRowHeight="16" x14ac:dyDescent="0.2"/>
  <cols>
    <col min="5" max="5" width="12.1640625" customWidth="1"/>
    <col min="10" max="10" width="12.83203125" bestFit="1" customWidth="1"/>
  </cols>
  <sheetData>
    <row r="1" spans="1:10" x14ac:dyDescent="0.2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107</v>
      </c>
      <c r="I1" t="s">
        <v>108</v>
      </c>
      <c r="J1" t="s">
        <v>114</v>
      </c>
    </row>
    <row r="2" spans="1:10" x14ac:dyDescent="0.2">
      <c r="A2">
        <v>40</v>
      </c>
      <c r="B2">
        <v>10</v>
      </c>
      <c r="C2" t="s">
        <v>6</v>
      </c>
      <c r="D2" t="s">
        <v>57</v>
      </c>
      <c r="E2">
        <v>100000</v>
      </c>
      <c r="F2">
        <v>10</v>
      </c>
      <c r="G2">
        <v>486.51259095187299</v>
      </c>
      <c r="H2">
        <v>486.51259095187299</v>
      </c>
      <c r="I2">
        <v>0</v>
      </c>
      <c r="J2">
        <f>Table5[[#This Row],[Diff Obj]]/Table5[[#This Row],[vs xMain]]</f>
        <v>0</v>
      </c>
    </row>
    <row r="3" spans="1:10" x14ac:dyDescent="0.2">
      <c r="A3">
        <v>40</v>
      </c>
      <c r="B3">
        <v>9</v>
      </c>
      <c r="C3" t="s">
        <v>6</v>
      </c>
      <c r="D3" t="s">
        <v>55</v>
      </c>
      <c r="E3">
        <v>100000</v>
      </c>
      <c r="F3">
        <v>10</v>
      </c>
      <c r="G3">
        <v>458.16802167440301</v>
      </c>
      <c r="H3">
        <v>458.16802167440301</v>
      </c>
      <c r="I3">
        <v>0</v>
      </c>
      <c r="J3">
        <f>Table5[[#This Row],[Diff Obj]]/Table5[[#This Row],[vs xMain]]</f>
        <v>0</v>
      </c>
    </row>
    <row r="4" spans="1:10" x14ac:dyDescent="0.2">
      <c r="A4">
        <v>40</v>
      </c>
      <c r="B4">
        <v>8</v>
      </c>
      <c r="C4" t="s">
        <v>6</v>
      </c>
      <c r="D4" t="s">
        <v>53</v>
      </c>
      <c r="E4">
        <v>100000</v>
      </c>
      <c r="F4">
        <v>10</v>
      </c>
      <c r="G4">
        <v>584.99393359201804</v>
      </c>
      <c r="H4">
        <v>584.99820484905604</v>
      </c>
      <c r="I4">
        <v>-4.2712570379990211E-3</v>
      </c>
      <c r="J4">
        <f>Table5[[#This Row],[Diff Obj]]/Table5[[#This Row],[vs xMain]]</f>
        <v>-7.3013164871182992E-6</v>
      </c>
    </row>
    <row r="5" spans="1:10" x14ac:dyDescent="0.2">
      <c r="A5">
        <v>40</v>
      </c>
      <c r="B5">
        <v>7</v>
      </c>
      <c r="C5" t="s">
        <v>6</v>
      </c>
      <c r="D5" t="s">
        <v>50</v>
      </c>
      <c r="E5">
        <v>100000</v>
      </c>
      <c r="F5">
        <v>10</v>
      </c>
      <c r="G5">
        <v>168</v>
      </c>
      <c r="H5">
        <v>168</v>
      </c>
      <c r="I5">
        <v>0</v>
      </c>
      <c r="J5">
        <f>Table5[[#This Row],[Diff Obj]]/Table5[[#This Row],[vs xMain]]</f>
        <v>0</v>
      </c>
    </row>
    <row r="6" spans="1:10" x14ac:dyDescent="0.2">
      <c r="A6">
        <v>40</v>
      </c>
      <c r="B6">
        <v>6</v>
      </c>
      <c r="C6" t="s">
        <v>6</v>
      </c>
      <c r="D6" t="s">
        <v>47</v>
      </c>
      <c r="E6">
        <v>100000</v>
      </c>
      <c r="F6">
        <v>10</v>
      </c>
      <c r="G6">
        <v>264.17242840239601</v>
      </c>
      <c r="H6">
        <v>264.17242840239601</v>
      </c>
      <c r="I6">
        <v>0</v>
      </c>
      <c r="J6">
        <f>Table5[[#This Row],[Diff Obj]]/Table5[[#This Row],[vs xMain]]</f>
        <v>0</v>
      </c>
    </row>
    <row r="7" spans="1:10" x14ac:dyDescent="0.2">
      <c r="A7">
        <v>40</v>
      </c>
      <c r="B7">
        <v>3</v>
      </c>
      <c r="C7" t="s">
        <v>6</v>
      </c>
      <c r="D7" t="s">
        <v>43</v>
      </c>
      <c r="E7">
        <v>100000</v>
      </c>
      <c r="F7">
        <v>10</v>
      </c>
      <c r="G7">
        <v>454.51928028419798</v>
      </c>
      <c r="H7">
        <v>454.51928028419798</v>
      </c>
      <c r="I7">
        <v>0</v>
      </c>
      <c r="J7">
        <f>Table5[[#This Row],[Diff Obj]]/Table5[[#This Row],[vs xMain]]</f>
        <v>0</v>
      </c>
    </row>
    <row r="8" spans="1:10" x14ac:dyDescent="0.2">
      <c r="A8">
        <v>40</v>
      </c>
      <c r="B8">
        <v>2</v>
      </c>
      <c r="C8" t="s">
        <v>6</v>
      </c>
      <c r="D8" t="s">
        <v>41</v>
      </c>
      <c r="E8">
        <v>100000</v>
      </c>
      <c r="F8">
        <v>10</v>
      </c>
      <c r="G8">
        <v>496.954405994441</v>
      </c>
      <c r="H8">
        <v>496.954405994441</v>
      </c>
      <c r="I8">
        <v>0</v>
      </c>
      <c r="J8">
        <f>Table5[[#This Row],[Diff Obj]]/Table5[[#This Row],[vs xMain]]</f>
        <v>0</v>
      </c>
    </row>
    <row r="9" spans="1:10" x14ac:dyDescent="0.2">
      <c r="A9">
        <v>40</v>
      </c>
      <c r="B9">
        <v>1</v>
      </c>
      <c r="C9" t="s">
        <v>6</v>
      </c>
      <c r="D9" t="s">
        <v>39</v>
      </c>
      <c r="E9">
        <v>100000</v>
      </c>
      <c r="F9">
        <v>10</v>
      </c>
      <c r="G9">
        <v>509.23269528755299</v>
      </c>
      <c r="H9">
        <v>509.23269528755299</v>
      </c>
      <c r="I9">
        <v>0</v>
      </c>
      <c r="J9">
        <f>Table5[[#This Row],[Diff Obj]]/Table5[[#This Row],[vs xMain]]</f>
        <v>0</v>
      </c>
    </row>
    <row r="11" spans="1:10" x14ac:dyDescent="0.2">
      <c r="I11" s="6">
        <f>AVERAGE(Table5[Diff Obj])</f>
        <v>-5.3390712974987764E-4</v>
      </c>
      <c r="J11" s="4">
        <f>AVERAGE(Table5[Column1])</f>
        <v>-9.126645608897874E-7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2899-A060-E947-A823-2DFBD0E2F809}">
  <dimension ref="A1:J11"/>
  <sheetViews>
    <sheetView workbookViewId="0">
      <selection activeCell="I11" sqref="I11"/>
    </sheetView>
  </sheetViews>
  <sheetFormatPr baseColWidth="10" defaultRowHeight="16" x14ac:dyDescent="0.2"/>
  <cols>
    <col min="5" max="5" width="12.1640625" customWidth="1"/>
    <col min="10" max="10" width="11.83203125" bestFit="1" customWidth="1"/>
  </cols>
  <sheetData>
    <row r="1" spans="1:10" x14ac:dyDescent="0.2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107</v>
      </c>
      <c r="I1" t="s">
        <v>108</v>
      </c>
      <c r="J1" t="s">
        <v>114</v>
      </c>
    </row>
    <row r="2" spans="1:10" x14ac:dyDescent="0.2">
      <c r="A2">
        <v>40</v>
      </c>
      <c r="B2">
        <v>10</v>
      </c>
      <c r="C2" t="s">
        <v>8</v>
      </c>
      <c r="D2" t="s">
        <v>57</v>
      </c>
      <c r="E2">
        <v>100000</v>
      </c>
      <c r="F2">
        <v>10</v>
      </c>
      <c r="G2">
        <v>486.51259095187299</v>
      </c>
      <c r="H2">
        <v>486.51259095187299</v>
      </c>
      <c r="I2">
        <v>0</v>
      </c>
      <c r="J2">
        <f>Table6[[#This Row],[Diff Obj]]/Table6[[#This Row],[vs xMain]]</f>
        <v>0</v>
      </c>
    </row>
    <row r="3" spans="1:10" x14ac:dyDescent="0.2">
      <c r="A3">
        <v>40</v>
      </c>
      <c r="B3">
        <v>9</v>
      </c>
      <c r="C3" t="s">
        <v>8</v>
      </c>
      <c r="D3" t="s">
        <v>91</v>
      </c>
      <c r="E3">
        <v>100000</v>
      </c>
      <c r="F3">
        <v>10</v>
      </c>
      <c r="G3">
        <v>458.16802167440301</v>
      </c>
      <c r="H3">
        <v>458.16802167440301</v>
      </c>
      <c r="I3">
        <v>0</v>
      </c>
      <c r="J3">
        <f>Table6[[#This Row],[Diff Obj]]/Table6[[#This Row],[vs xMain]]</f>
        <v>0</v>
      </c>
    </row>
    <row r="4" spans="1:10" x14ac:dyDescent="0.2">
      <c r="A4">
        <v>40</v>
      </c>
      <c r="B4">
        <v>8</v>
      </c>
      <c r="C4" t="s">
        <v>8</v>
      </c>
      <c r="D4" t="s">
        <v>90</v>
      </c>
      <c r="E4">
        <v>100000</v>
      </c>
      <c r="F4">
        <v>10</v>
      </c>
      <c r="G4">
        <v>584.99393359201804</v>
      </c>
      <c r="H4">
        <v>584.99820484905604</v>
      </c>
      <c r="I4">
        <v>-4.2712570379990211E-3</v>
      </c>
      <c r="J4">
        <f>Table6[[#This Row],[Diff Obj]]/Table6[[#This Row],[vs xMain]]</f>
        <v>-7.3013164871182992E-6</v>
      </c>
    </row>
    <row r="5" spans="1:10" x14ac:dyDescent="0.2">
      <c r="A5">
        <v>40</v>
      </c>
      <c r="B5">
        <v>7</v>
      </c>
      <c r="C5" t="s">
        <v>8</v>
      </c>
      <c r="D5" t="s">
        <v>50</v>
      </c>
      <c r="E5">
        <v>100000</v>
      </c>
      <c r="F5">
        <v>10</v>
      </c>
      <c r="G5">
        <v>168</v>
      </c>
      <c r="H5">
        <v>168</v>
      </c>
      <c r="I5">
        <v>0</v>
      </c>
      <c r="J5">
        <f>Table6[[#This Row],[Diff Obj]]/Table6[[#This Row],[vs xMain]]</f>
        <v>0</v>
      </c>
    </row>
    <row r="6" spans="1:10" x14ac:dyDescent="0.2">
      <c r="A6">
        <v>40</v>
      </c>
      <c r="B6">
        <v>6</v>
      </c>
      <c r="C6" t="s">
        <v>8</v>
      </c>
      <c r="D6" t="s">
        <v>89</v>
      </c>
      <c r="E6">
        <v>100000</v>
      </c>
      <c r="F6">
        <v>10</v>
      </c>
      <c r="G6">
        <v>264.09418410242102</v>
      </c>
      <c r="H6">
        <v>264.17242840239601</v>
      </c>
      <c r="I6">
        <v>-7.8244299974983278E-2</v>
      </c>
      <c r="J6">
        <f>Table6[[#This Row],[Diff Obj]]/Table6[[#This Row],[vs xMain]]</f>
        <v>-2.9618647353992227E-4</v>
      </c>
    </row>
    <row r="7" spans="1:10" x14ac:dyDescent="0.2">
      <c r="A7">
        <v>40</v>
      </c>
      <c r="B7">
        <v>3</v>
      </c>
      <c r="C7" t="s">
        <v>8</v>
      </c>
      <c r="D7" t="s">
        <v>43</v>
      </c>
      <c r="E7">
        <v>100000</v>
      </c>
      <c r="F7">
        <v>10</v>
      </c>
      <c r="G7">
        <v>454.51928028419798</v>
      </c>
      <c r="H7">
        <v>454.51928028419798</v>
      </c>
      <c r="I7">
        <v>0</v>
      </c>
      <c r="J7">
        <f>Table6[[#This Row],[Diff Obj]]/Table6[[#This Row],[vs xMain]]</f>
        <v>0</v>
      </c>
    </row>
    <row r="8" spans="1:10" x14ac:dyDescent="0.2">
      <c r="A8">
        <v>40</v>
      </c>
      <c r="B8">
        <v>2</v>
      </c>
      <c r="C8" t="s">
        <v>8</v>
      </c>
      <c r="D8" t="s">
        <v>41</v>
      </c>
      <c r="E8">
        <v>100000</v>
      </c>
      <c r="F8">
        <v>10</v>
      </c>
      <c r="G8">
        <v>496.954405994441</v>
      </c>
      <c r="H8">
        <v>496.954405994441</v>
      </c>
      <c r="I8">
        <v>0</v>
      </c>
      <c r="J8">
        <f>Table6[[#This Row],[Diff Obj]]/Table6[[#This Row],[vs xMain]]</f>
        <v>0</v>
      </c>
    </row>
    <row r="9" spans="1:10" x14ac:dyDescent="0.2">
      <c r="A9">
        <v>40</v>
      </c>
      <c r="B9">
        <v>1</v>
      </c>
      <c r="C9" t="s">
        <v>8</v>
      </c>
      <c r="D9" t="s">
        <v>39</v>
      </c>
      <c r="E9">
        <v>100000</v>
      </c>
      <c r="F9">
        <v>10</v>
      </c>
      <c r="G9">
        <v>509.23269528755299</v>
      </c>
      <c r="H9">
        <v>509.23269528755299</v>
      </c>
      <c r="I9">
        <v>0</v>
      </c>
      <c r="J9">
        <f>Table6[[#This Row],[Diff Obj]]/Table6[[#This Row],[vs xMain]]</f>
        <v>0</v>
      </c>
    </row>
    <row r="11" spans="1:10" x14ac:dyDescent="0.2">
      <c r="I11" s="6">
        <f>AVERAGE(Table6[Diff Obj])</f>
        <v>-1.0314444626622787E-2</v>
      </c>
      <c r="J11" s="4">
        <f>AVERAGE(Table6[Column1])</f>
        <v>-3.7935973753380069E-5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0AC3-57E1-7640-9162-248684C1A500}">
  <dimension ref="A1:J10"/>
  <sheetViews>
    <sheetView workbookViewId="0">
      <selection activeCell="A8" sqref="A2:A8"/>
    </sheetView>
  </sheetViews>
  <sheetFormatPr baseColWidth="10" defaultRowHeight="16" x14ac:dyDescent="0.2"/>
  <cols>
    <col min="5" max="5" width="12.1640625" customWidth="1"/>
  </cols>
  <sheetData>
    <row r="1" spans="1:10" x14ac:dyDescent="0.2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107</v>
      </c>
      <c r="I1" t="s">
        <v>108</v>
      </c>
      <c r="J1" t="s">
        <v>114</v>
      </c>
    </row>
    <row r="2" spans="1:10" x14ac:dyDescent="0.2">
      <c r="A2">
        <v>50</v>
      </c>
      <c r="B2">
        <v>9</v>
      </c>
      <c r="C2" t="s">
        <v>2</v>
      </c>
      <c r="D2" t="s">
        <v>82</v>
      </c>
      <c r="E2">
        <v>100000</v>
      </c>
      <c r="F2">
        <v>10</v>
      </c>
      <c r="G2">
        <v>353.47810742444699</v>
      </c>
      <c r="H2">
        <v>353.47810742444699</v>
      </c>
      <c r="I2">
        <v>0</v>
      </c>
      <c r="J2">
        <f>Table3[[#This Row],[Diff Obj]]/Table3[[#This Row],[vs xMain]]</f>
        <v>0</v>
      </c>
    </row>
    <row r="3" spans="1:10" x14ac:dyDescent="0.2">
      <c r="A3">
        <v>50</v>
      </c>
      <c r="B3">
        <v>8</v>
      </c>
      <c r="C3" t="s">
        <v>2</v>
      </c>
      <c r="D3" t="s">
        <v>79</v>
      </c>
      <c r="E3">
        <v>100000</v>
      </c>
      <c r="F3">
        <v>10</v>
      </c>
      <c r="G3">
        <v>168</v>
      </c>
      <c r="H3">
        <v>168</v>
      </c>
      <c r="I3">
        <v>0</v>
      </c>
      <c r="J3">
        <f>Table3[[#This Row],[Diff Obj]]/Table3[[#This Row],[vs xMain]]</f>
        <v>0</v>
      </c>
    </row>
    <row r="4" spans="1:10" x14ac:dyDescent="0.2">
      <c r="A4">
        <v>50</v>
      </c>
      <c r="B4">
        <v>7</v>
      </c>
      <c r="C4" t="s">
        <v>2</v>
      </c>
      <c r="D4" t="s">
        <v>75</v>
      </c>
      <c r="E4">
        <v>100000</v>
      </c>
      <c r="F4">
        <v>10</v>
      </c>
      <c r="G4">
        <v>204.000144495554</v>
      </c>
      <c r="H4">
        <v>204.000144495554</v>
      </c>
      <c r="I4">
        <v>0</v>
      </c>
      <c r="J4">
        <f>Table3[[#This Row],[Diff Obj]]/Table3[[#This Row],[vs xMain]]</f>
        <v>0</v>
      </c>
    </row>
    <row r="5" spans="1:10" x14ac:dyDescent="0.2">
      <c r="A5">
        <v>50</v>
      </c>
      <c r="B5">
        <v>6</v>
      </c>
      <c r="C5" t="s">
        <v>2</v>
      </c>
      <c r="D5" t="s">
        <v>71</v>
      </c>
      <c r="E5">
        <v>100000</v>
      </c>
      <c r="F5">
        <v>10</v>
      </c>
      <c r="G5">
        <v>276.01626420815001</v>
      </c>
      <c r="H5">
        <v>275.73228931258302</v>
      </c>
      <c r="I5">
        <v>0.28397489556698474</v>
      </c>
      <c r="J5">
        <f>Table3[[#This Row],[Diff Obj]]/Table3[[#This Row],[vs xMain]]</f>
        <v>1.0298935111116331E-3</v>
      </c>
    </row>
    <row r="6" spans="1:10" x14ac:dyDescent="0.2">
      <c r="A6">
        <v>50</v>
      </c>
      <c r="B6">
        <v>5</v>
      </c>
      <c r="C6" t="s">
        <v>2</v>
      </c>
      <c r="D6" t="s">
        <v>67</v>
      </c>
      <c r="E6">
        <v>100000</v>
      </c>
      <c r="F6">
        <v>10</v>
      </c>
      <c r="G6">
        <v>531</v>
      </c>
      <c r="H6">
        <v>531</v>
      </c>
      <c r="I6">
        <v>0</v>
      </c>
      <c r="J6">
        <f>Table3[[#This Row],[Diff Obj]]/Table3[[#This Row],[vs xMain]]</f>
        <v>0</v>
      </c>
    </row>
    <row r="7" spans="1:10" x14ac:dyDescent="0.2">
      <c r="A7">
        <v>50</v>
      </c>
      <c r="B7">
        <v>4</v>
      </c>
      <c r="C7" t="s">
        <v>2</v>
      </c>
      <c r="D7" t="s">
        <v>63</v>
      </c>
      <c r="E7">
        <v>100000</v>
      </c>
      <c r="F7">
        <v>10</v>
      </c>
      <c r="G7">
        <v>357.94404422289</v>
      </c>
      <c r="H7">
        <v>357.94404422289</v>
      </c>
      <c r="I7">
        <v>0</v>
      </c>
      <c r="J7">
        <f>Table3[[#This Row],[Diff Obj]]/Table3[[#This Row],[vs xMain]]</f>
        <v>0</v>
      </c>
    </row>
    <row r="8" spans="1:10" x14ac:dyDescent="0.2">
      <c r="A8">
        <v>50</v>
      </c>
      <c r="B8">
        <v>3</v>
      </c>
      <c r="C8" t="s">
        <v>2</v>
      </c>
      <c r="D8" t="s">
        <v>59</v>
      </c>
      <c r="E8">
        <v>100000</v>
      </c>
      <c r="F8">
        <v>10</v>
      </c>
      <c r="G8">
        <v>361</v>
      </c>
      <c r="H8">
        <v>360.99828766528401</v>
      </c>
      <c r="I8">
        <v>1.7123347159895275E-3</v>
      </c>
      <c r="J8">
        <f>Table3[[#This Row],[Diff Obj]]/Table3[[#This Row],[vs xMain]]</f>
        <v>4.7433319616662467E-6</v>
      </c>
    </row>
    <row r="10" spans="1:10" x14ac:dyDescent="0.2">
      <c r="I10" s="6">
        <f>AVERAGE(Table3[Diff Obj])</f>
        <v>4.0812461468996322E-2</v>
      </c>
      <c r="J10" s="4">
        <f>AVERAGE(Table3[Column1])</f>
        <v>1.4780526329618562E-4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879A-34CF-9340-867B-26DCBF9F8463}">
  <dimension ref="A1:J10"/>
  <sheetViews>
    <sheetView workbookViewId="0">
      <selection activeCell="I10" sqref="I10"/>
    </sheetView>
  </sheetViews>
  <sheetFormatPr baseColWidth="10" defaultRowHeight="16" x14ac:dyDescent="0.2"/>
  <cols>
    <col min="5" max="5" width="12.1640625" customWidth="1"/>
  </cols>
  <sheetData>
    <row r="1" spans="1:10" x14ac:dyDescent="0.2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107</v>
      </c>
      <c r="I1" t="s">
        <v>108</v>
      </c>
      <c r="J1" t="s">
        <v>114</v>
      </c>
    </row>
    <row r="2" spans="1:10" x14ac:dyDescent="0.2">
      <c r="A2">
        <v>50</v>
      </c>
      <c r="B2">
        <v>9</v>
      </c>
      <c r="C2" t="s">
        <v>4</v>
      </c>
      <c r="D2" t="s">
        <v>83</v>
      </c>
      <c r="E2">
        <v>100000</v>
      </c>
      <c r="F2">
        <v>10</v>
      </c>
      <c r="G2">
        <v>353.47810742444699</v>
      </c>
      <c r="H2">
        <v>353.47810742444699</v>
      </c>
      <c r="I2">
        <v>0</v>
      </c>
      <c r="J2">
        <f>Table4[[#This Row],[Diff Obj]]/Table4[[#This Row],[vs xMain]]</f>
        <v>0</v>
      </c>
    </row>
    <row r="3" spans="1:10" x14ac:dyDescent="0.2">
      <c r="A3">
        <v>50</v>
      </c>
      <c r="B3">
        <v>8</v>
      </c>
      <c r="C3" t="s">
        <v>4</v>
      </c>
      <c r="D3" t="s">
        <v>80</v>
      </c>
      <c r="E3">
        <v>100000</v>
      </c>
      <c r="F3">
        <v>10</v>
      </c>
      <c r="G3">
        <v>168</v>
      </c>
      <c r="H3">
        <v>168</v>
      </c>
      <c r="I3">
        <v>0</v>
      </c>
      <c r="J3">
        <f>Table4[[#This Row],[Diff Obj]]/Table4[[#This Row],[vs xMain]]</f>
        <v>0</v>
      </c>
    </row>
    <row r="4" spans="1:10" x14ac:dyDescent="0.2">
      <c r="A4">
        <v>50</v>
      </c>
      <c r="B4">
        <v>7</v>
      </c>
      <c r="C4" t="s">
        <v>4</v>
      </c>
      <c r="D4" t="s">
        <v>76</v>
      </c>
      <c r="E4">
        <v>100000</v>
      </c>
      <c r="F4">
        <v>10</v>
      </c>
      <c r="G4">
        <v>204.000144495554</v>
      </c>
      <c r="H4">
        <v>204.000144495554</v>
      </c>
      <c r="I4">
        <v>0</v>
      </c>
      <c r="J4">
        <f>Table4[[#This Row],[Diff Obj]]/Table4[[#This Row],[vs xMain]]</f>
        <v>0</v>
      </c>
    </row>
    <row r="5" spans="1:10" x14ac:dyDescent="0.2">
      <c r="A5">
        <v>50</v>
      </c>
      <c r="B5">
        <v>6</v>
      </c>
      <c r="C5" t="s">
        <v>4</v>
      </c>
      <c r="D5" t="s">
        <v>72</v>
      </c>
      <c r="E5">
        <v>100000</v>
      </c>
      <c r="F5">
        <v>10</v>
      </c>
      <c r="G5">
        <v>276.01626420815001</v>
      </c>
      <c r="H5">
        <v>275.73228931258302</v>
      </c>
      <c r="I5">
        <v>0.28397489556698474</v>
      </c>
      <c r="J5">
        <f>Table4[[#This Row],[Diff Obj]]/Table4[[#This Row],[vs xMain]]</f>
        <v>1.0298935111116331E-3</v>
      </c>
    </row>
    <row r="6" spans="1:10" x14ac:dyDescent="0.2">
      <c r="A6">
        <v>50</v>
      </c>
      <c r="B6">
        <v>5</v>
      </c>
      <c r="C6" t="s">
        <v>4</v>
      </c>
      <c r="D6" t="s">
        <v>68</v>
      </c>
      <c r="E6">
        <v>100000</v>
      </c>
      <c r="F6">
        <v>10</v>
      </c>
      <c r="G6">
        <v>531</v>
      </c>
      <c r="H6">
        <v>531</v>
      </c>
      <c r="I6">
        <v>0</v>
      </c>
      <c r="J6">
        <f>Table4[[#This Row],[Diff Obj]]/Table4[[#This Row],[vs xMain]]</f>
        <v>0</v>
      </c>
    </row>
    <row r="7" spans="1:10" x14ac:dyDescent="0.2">
      <c r="A7">
        <v>50</v>
      </c>
      <c r="B7">
        <v>4</v>
      </c>
      <c r="C7" t="s">
        <v>4</v>
      </c>
      <c r="D7" t="s">
        <v>64</v>
      </c>
      <c r="E7">
        <v>100000</v>
      </c>
      <c r="F7">
        <v>10</v>
      </c>
      <c r="G7">
        <v>357.94404422289</v>
      </c>
      <c r="H7">
        <v>357.94404422289</v>
      </c>
      <c r="I7">
        <v>0</v>
      </c>
      <c r="J7">
        <f>Table4[[#This Row],[Diff Obj]]/Table4[[#This Row],[vs xMain]]</f>
        <v>0</v>
      </c>
    </row>
    <row r="8" spans="1:10" x14ac:dyDescent="0.2">
      <c r="A8">
        <v>50</v>
      </c>
      <c r="B8">
        <v>3</v>
      </c>
      <c r="C8" t="s">
        <v>4</v>
      </c>
      <c r="D8" t="s">
        <v>60</v>
      </c>
      <c r="E8">
        <v>100000</v>
      </c>
      <c r="F8">
        <v>10</v>
      </c>
      <c r="G8">
        <v>361</v>
      </c>
      <c r="H8">
        <v>360.99828766528401</v>
      </c>
      <c r="I8">
        <v>1.7123347159895275E-3</v>
      </c>
      <c r="J8">
        <f>Table4[[#This Row],[Diff Obj]]/Table4[[#This Row],[vs xMain]]</f>
        <v>4.7433319616662467E-6</v>
      </c>
    </row>
    <row r="10" spans="1:10" x14ac:dyDescent="0.2">
      <c r="I10" s="6">
        <f>AVERAGE(Table4[Diff Obj])</f>
        <v>4.0812461468996322E-2</v>
      </c>
      <c r="J10" s="4">
        <f>AVERAGE(Table4[Column1])</f>
        <v>1.4780526329618562E-4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5AF1-E366-0045-956D-793E249F76F0}">
  <dimension ref="A1:J10"/>
  <sheetViews>
    <sheetView workbookViewId="0">
      <selection activeCell="J10" sqref="J10"/>
    </sheetView>
  </sheetViews>
  <sheetFormatPr baseColWidth="10" defaultRowHeight="16" x14ac:dyDescent="0.2"/>
  <cols>
    <col min="5" max="5" width="12.1640625" customWidth="1"/>
  </cols>
  <sheetData>
    <row r="1" spans="1:10" x14ac:dyDescent="0.2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107</v>
      </c>
      <c r="I1" t="s">
        <v>108</v>
      </c>
      <c r="J1" t="s">
        <v>114</v>
      </c>
    </row>
    <row r="2" spans="1:10" x14ac:dyDescent="0.2">
      <c r="A2">
        <v>50</v>
      </c>
      <c r="B2">
        <v>9</v>
      </c>
      <c r="C2" t="s">
        <v>6</v>
      </c>
      <c r="D2" t="s">
        <v>83</v>
      </c>
      <c r="E2">
        <v>100000</v>
      </c>
      <c r="F2">
        <v>10</v>
      </c>
      <c r="G2">
        <v>353.47810742444699</v>
      </c>
      <c r="H2">
        <v>353.47810742444699</v>
      </c>
      <c r="I2">
        <v>0</v>
      </c>
      <c r="J2">
        <f>Table8[[#This Row],[Diff Obj]]/Table8[[#This Row],[vs xMain]]</f>
        <v>0</v>
      </c>
    </row>
    <row r="3" spans="1:10" x14ac:dyDescent="0.2">
      <c r="A3">
        <v>50</v>
      </c>
      <c r="B3">
        <v>8</v>
      </c>
      <c r="C3" t="s">
        <v>6</v>
      </c>
      <c r="D3" t="s">
        <v>81</v>
      </c>
      <c r="E3">
        <v>100000</v>
      </c>
      <c r="F3">
        <v>10</v>
      </c>
      <c r="G3">
        <v>168</v>
      </c>
      <c r="H3">
        <v>168</v>
      </c>
      <c r="I3">
        <v>0</v>
      </c>
      <c r="J3">
        <f>Table8[[#This Row],[Diff Obj]]/Table8[[#This Row],[vs xMain]]</f>
        <v>0</v>
      </c>
    </row>
    <row r="4" spans="1:10" x14ac:dyDescent="0.2">
      <c r="A4">
        <v>50</v>
      </c>
      <c r="B4">
        <v>7</v>
      </c>
      <c r="C4" t="s">
        <v>6</v>
      </c>
      <c r="D4" t="s">
        <v>77</v>
      </c>
      <c r="E4">
        <v>100000</v>
      </c>
      <c r="F4">
        <v>10</v>
      </c>
      <c r="G4">
        <v>204.000144495554</v>
      </c>
      <c r="H4">
        <v>204.000144495554</v>
      </c>
      <c r="I4">
        <v>0</v>
      </c>
      <c r="J4">
        <f>Table8[[#This Row],[Diff Obj]]/Table8[[#This Row],[vs xMain]]</f>
        <v>0</v>
      </c>
    </row>
    <row r="5" spans="1:10" x14ac:dyDescent="0.2">
      <c r="A5">
        <v>50</v>
      </c>
      <c r="B5">
        <v>6</v>
      </c>
      <c r="C5" t="s">
        <v>6</v>
      </c>
      <c r="D5" t="s">
        <v>73</v>
      </c>
      <c r="E5">
        <v>100000</v>
      </c>
      <c r="F5">
        <v>10</v>
      </c>
      <c r="G5">
        <v>276.01626420815001</v>
      </c>
      <c r="H5">
        <v>275.73228931258302</v>
      </c>
      <c r="I5">
        <v>0.28397489556698474</v>
      </c>
      <c r="J5">
        <f>Table8[[#This Row],[Diff Obj]]/Table8[[#This Row],[vs xMain]]</f>
        <v>1.0298935111116331E-3</v>
      </c>
    </row>
    <row r="6" spans="1:10" x14ac:dyDescent="0.2">
      <c r="A6">
        <v>50</v>
      </c>
      <c r="B6">
        <v>5</v>
      </c>
      <c r="C6" t="s">
        <v>6</v>
      </c>
      <c r="D6" t="s">
        <v>69</v>
      </c>
      <c r="E6">
        <v>100000</v>
      </c>
      <c r="F6">
        <v>10</v>
      </c>
      <c r="G6">
        <v>531</v>
      </c>
      <c r="H6">
        <v>531</v>
      </c>
      <c r="I6">
        <v>0</v>
      </c>
      <c r="J6">
        <f>Table8[[#This Row],[Diff Obj]]/Table8[[#This Row],[vs xMain]]</f>
        <v>0</v>
      </c>
    </row>
    <row r="7" spans="1:10" x14ac:dyDescent="0.2">
      <c r="A7">
        <v>50</v>
      </c>
      <c r="B7">
        <v>4</v>
      </c>
      <c r="C7" t="s">
        <v>6</v>
      </c>
      <c r="D7" t="s">
        <v>65</v>
      </c>
      <c r="E7">
        <v>100000</v>
      </c>
      <c r="F7">
        <v>10</v>
      </c>
      <c r="G7">
        <v>357.94404422289</v>
      </c>
      <c r="H7">
        <v>357.94404422289</v>
      </c>
      <c r="I7">
        <v>0</v>
      </c>
      <c r="J7">
        <f>Table8[[#This Row],[Diff Obj]]/Table8[[#This Row],[vs xMain]]</f>
        <v>0</v>
      </c>
    </row>
    <row r="8" spans="1:10" x14ac:dyDescent="0.2">
      <c r="A8">
        <v>50</v>
      </c>
      <c r="B8">
        <v>3</v>
      </c>
      <c r="C8" t="s">
        <v>6</v>
      </c>
      <c r="D8" t="s">
        <v>61</v>
      </c>
      <c r="E8">
        <v>100000</v>
      </c>
      <c r="F8">
        <v>10</v>
      </c>
      <c r="G8">
        <v>361</v>
      </c>
      <c r="H8">
        <v>360.99828766528401</v>
      </c>
      <c r="I8">
        <v>1.7123347159895275E-3</v>
      </c>
      <c r="J8">
        <f>Table8[[#This Row],[Diff Obj]]/Table8[[#This Row],[vs xMain]]</f>
        <v>4.7433319616662467E-6</v>
      </c>
    </row>
    <row r="10" spans="1:10" x14ac:dyDescent="0.2">
      <c r="I10" s="6">
        <f>AVERAGE(Table8[Diff Obj])</f>
        <v>4.0812461468996322E-2</v>
      </c>
      <c r="J10" s="4">
        <f>AVERAGE(Table8[Column1])</f>
        <v>1.4780526329618562E-4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F5D5-9F7F-D449-8599-ECFE9EC2730F}">
  <dimension ref="A1:J10"/>
  <sheetViews>
    <sheetView workbookViewId="0">
      <selection activeCell="J8" sqref="J2:J8"/>
    </sheetView>
  </sheetViews>
  <sheetFormatPr baseColWidth="10" defaultRowHeight="16" x14ac:dyDescent="0.2"/>
  <cols>
    <col min="5" max="5" width="12.1640625" customWidth="1"/>
  </cols>
  <sheetData>
    <row r="1" spans="1:10" x14ac:dyDescent="0.2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107</v>
      </c>
      <c r="I1" t="s">
        <v>108</v>
      </c>
      <c r="J1" t="s">
        <v>114</v>
      </c>
    </row>
    <row r="2" spans="1:10" x14ac:dyDescent="0.2">
      <c r="A2">
        <v>50</v>
      </c>
      <c r="B2">
        <v>9</v>
      </c>
      <c r="C2" t="s">
        <v>8</v>
      </c>
      <c r="D2" t="s">
        <v>83</v>
      </c>
      <c r="E2">
        <v>100000</v>
      </c>
      <c r="F2">
        <v>10</v>
      </c>
      <c r="G2">
        <v>353.47810742444699</v>
      </c>
      <c r="H2">
        <v>353.47810742444699</v>
      </c>
      <c r="I2">
        <v>0</v>
      </c>
      <c r="J2">
        <f>Table7[[#This Row],[Diff Obj]]/Table7[[#This Row],[vs xMain]]</f>
        <v>0</v>
      </c>
    </row>
    <row r="3" spans="1:10" x14ac:dyDescent="0.2">
      <c r="A3">
        <v>50</v>
      </c>
      <c r="B3">
        <v>8</v>
      </c>
      <c r="C3" t="s">
        <v>8</v>
      </c>
      <c r="D3" t="s">
        <v>80</v>
      </c>
      <c r="E3">
        <v>100000</v>
      </c>
      <c r="F3">
        <v>10</v>
      </c>
      <c r="G3">
        <v>168</v>
      </c>
      <c r="H3">
        <v>168</v>
      </c>
      <c r="I3">
        <v>0</v>
      </c>
      <c r="J3">
        <f>Table7[[#This Row],[Diff Obj]]/Table7[[#This Row],[vs xMain]]</f>
        <v>0</v>
      </c>
    </row>
    <row r="4" spans="1:10" x14ac:dyDescent="0.2">
      <c r="A4">
        <v>50</v>
      </c>
      <c r="B4">
        <v>7</v>
      </c>
      <c r="C4" t="s">
        <v>8</v>
      </c>
      <c r="D4" t="s">
        <v>96</v>
      </c>
      <c r="E4">
        <v>100000</v>
      </c>
      <c r="F4">
        <v>10</v>
      </c>
      <c r="G4">
        <v>204.000144495554</v>
      </c>
      <c r="H4">
        <v>204.000144495554</v>
      </c>
      <c r="I4">
        <v>0</v>
      </c>
      <c r="J4">
        <f>Table7[[#This Row],[Diff Obj]]/Table7[[#This Row],[vs xMain]]</f>
        <v>0</v>
      </c>
    </row>
    <row r="5" spans="1:10" x14ac:dyDescent="0.2">
      <c r="A5">
        <v>50</v>
      </c>
      <c r="B5">
        <v>6</v>
      </c>
      <c r="C5" t="s">
        <v>8</v>
      </c>
      <c r="D5" t="s">
        <v>73</v>
      </c>
      <c r="E5">
        <v>100000</v>
      </c>
      <c r="F5">
        <v>10</v>
      </c>
      <c r="G5">
        <v>276.01626420815001</v>
      </c>
      <c r="H5">
        <v>275.73228931258302</v>
      </c>
      <c r="I5">
        <v>0.28397489556698474</v>
      </c>
      <c r="J5">
        <f>Table7[[#This Row],[Diff Obj]]/Table7[[#This Row],[vs xMain]]</f>
        <v>1.0298935111116331E-3</v>
      </c>
    </row>
    <row r="6" spans="1:10" x14ac:dyDescent="0.2">
      <c r="A6">
        <v>50</v>
      </c>
      <c r="B6">
        <v>5</v>
      </c>
      <c r="C6" t="s">
        <v>8</v>
      </c>
      <c r="D6" t="s">
        <v>95</v>
      </c>
      <c r="E6">
        <v>100000</v>
      </c>
      <c r="F6">
        <v>10</v>
      </c>
      <c r="G6">
        <v>530.87182810629895</v>
      </c>
      <c r="H6">
        <v>531</v>
      </c>
      <c r="I6">
        <v>-0.12817189370105098</v>
      </c>
      <c r="J6">
        <f>Table7[[#This Row],[Diff Obj]]/Table7[[#This Row],[vs xMain]]</f>
        <v>-2.4137833088710165E-4</v>
      </c>
    </row>
    <row r="7" spans="1:10" x14ac:dyDescent="0.2">
      <c r="A7">
        <v>50</v>
      </c>
      <c r="B7">
        <v>4</v>
      </c>
      <c r="C7" t="s">
        <v>8</v>
      </c>
      <c r="D7" t="s">
        <v>65</v>
      </c>
      <c r="E7">
        <v>100000</v>
      </c>
      <c r="F7">
        <v>10</v>
      </c>
      <c r="G7">
        <v>357.94404422289</v>
      </c>
      <c r="H7">
        <v>357.94404422289</v>
      </c>
      <c r="I7">
        <v>0</v>
      </c>
      <c r="J7">
        <f>Table7[[#This Row],[Diff Obj]]/Table7[[#This Row],[vs xMain]]</f>
        <v>0</v>
      </c>
    </row>
    <row r="8" spans="1:10" x14ac:dyDescent="0.2">
      <c r="A8">
        <v>50</v>
      </c>
      <c r="B8">
        <v>3</v>
      </c>
      <c r="C8" t="s">
        <v>8</v>
      </c>
      <c r="D8" t="s">
        <v>94</v>
      </c>
      <c r="E8">
        <v>100000</v>
      </c>
      <c r="F8">
        <v>10</v>
      </c>
      <c r="G8">
        <v>361</v>
      </c>
      <c r="H8">
        <v>360.99828766528401</v>
      </c>
      <c r="I8">
        <v>1.7123347159895275E-3</v>
      </c>
      <c r="J8">
        <f>Table7[[#This Row],[Diff Obj]]/Table7[[#This Row],[vs xMain]]</f>
        <v>4.7433319616662467E-6</v>
      </c>
    </row>
    <row r="10" spans="1:10" x14ac:dyDescent="0.2">
      <c r="I10" s="6">
        <f>AVERAGE(Table7[Diff Obj])</f>
        <v>2.2502190940274756E-2</v>
      </c>
      <c r="J10" s="4">
        <f>AVERAGE(Table7[Column1])</f>
        <v>1.1332264459802824E-4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A1D6-C0CC-AC4F-9B3B-AFF2B79D5DBD}">
  <dimension ref="A3:K9"/>
  <sheetViews>
    <sheetView workbookViewId="0">
      <selection activeCell="G8" sqref="G8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17.6640625" bestFit="1" customWidth="1"/>
    <col min="4" max="4" width="14.83203125" bestFit="1" customWidth="1"/>
    <col min="5" max="5" width="17.6640625" bestFit="1" customWidth="1"/>
    <col min="6" max="6" width="14.83203125" bestFit="1" customWidth="1"/>
    <col min="7" max="7" width="17.6640625" bestFit="1" customWidth="1"/>
    <col min="8" max="8" width="14.83203125" bestFit="1" customWidth="1"/>
    <col min="9" max="9" width="17.6640625" bestFit="1" customWidth="1"/>
    <col min="10" max="10" width="19.33203125" bestFit="1" customWidth="1"/>
    <col min="11" max="11" width="22.1640625" bestFit="1" customWidth="1"/>
  </cols>
  <sheetData>
    <row r="3" spans="1:11" x14ac:dyDescent="0.2">
      <c r="B3" s="2" t="s">
        <v>109</v>
      </c>
    </row>
    <row r="4" spans="1:11" x14ac:dyDescent="0.2">
      <c r="B4" t="s">
        <v>2</v>
      </c>
      <c r="D4" t="s">
        <v>4</v>
      </c>
      <c r="F4" t="s">
        <v>6</v>
      </c>
      <c r="H4" t="s">
        <v>8</v>
      </c>
      <c r="J4" t="s">
        <v>110</v>
      </c>
      <c r="K4" t="s">
        <v>112</v>
      </c>
    </row>
    <row r="5" spans="1:11" x14ac:dyDescent="0.2">
      <c r="A5" s="2" t="s">
        <v>105</v>
      </c>
      <c r="B5" t="s">
        <v>111</v>
      </c>
      <c r="C5" t="s">
        <v>113</v>
      </c>
      <c r="D5" t="s">
        <v>111</v>
      </c>
      <c r="E5" t="s">
        <v>113</v>
      </c>
      <c r="F5" t="s">
        <v>111</v>
      </c>
      <c r="G5" t="s">
        <v>113</v>
      </c>
      <c r="H5" t="s">
        <v>111</v>
      </c>
      <c r="I5" t="s">
        <v>113</v>
      </c>
    </row>
    <row r="6" spans="1:11" x14ac:dyDescent="0.2">
      <c r="A6" s="3">
        <v>30</v>
      </c>
      <c r="B6" s="1">
        <v>9</v>
      </c>
      <c r="C6" s="1">
        <v>0</v>
      </c>
      <c r="D6" s="1">
        <v>9</v>
      </c>
      <c r="E6" s="1">
        <v>0</v>
      </c>
      <c r="F6" s="1">
        <v>9</v>
      </c>
      <c r="G6" s="1">
        <v>0</v>
      </c>
      <c r="H6" s="1">
        <v>9</v>
      </c>
      <c r="I6" s="1">
        <v>0</v>
      </c>
      <c r="J6" s="1">
        <v>36</v>
      </c>
      <c r="K6" s="1">
        <v>0</v>
      </c>
    </row>
    <row r="7" spans="1:11" x14ac:dyDescent="0.2">
      <c r="A7" s="3">
        <v>40</v>
      </c>
      <c r="B7" s="1">
        <v>8</v>
      </c>
      <c r="C7" s="1">
        <v>0</v>
      </c>
      <c r="D7" s="1">
        <v>8</v>
      </c>
      <c r="E7" s="1">
        <v>-4.8244980637477397E-3</v>
      </c>
      <c r="F7" s="1">
        <v>8</v>
      </c>
      <c r="G7" s="1">
        <v>-5.3390712974987764E-4</v>
      </c>
      <c r="H7" s="1">
        <v>8</v>
      </c>
      <c r="I7" s="1">
        <v>-1.0314444626622787E-2</v>
      </c>
      <c r="J7" s="1">
        <v>32</v>
      </c>
      <c r="K7" s="1">
        <v>-3.9182124550301012E-3</v>
      </c>
    </row>
    <row r="8" spans="1:11" x14ac:dyDescent="0.2">
      <c r="A8" s="3">
        <v>50</v>
      </c>
      <c r="B8" s="1">
        <v>7</v>
      </c>
      <c r="C8" s="1">
        <v>4.0812461468996322E-2</v>
      </c>
      <c r="D8" s="1">
        <v>7</v>
      </c>
      <c r="E8" s="1">
        <v>4.0812461468996322E-2</v>
      </c>
      <c r="F8" s="1">
        <v>7</v>
      </c>
      <c r="G8" s="1">
        <v>4.0812461468996322E-2</v>
      </c>
      <c r="H8" s="1">
        <v>7</v>
      </c>
      <c r="I8" s="1">
        <v>2.2502190940274756E-2</v>
      </c>
      <c r="J8" s="1">
        <v>28</v>
      </c>
      <c r="K8" s="1">
        <v>3.6234893836815933E-2</v>
      </c>
    </row>
    <row r="9" spans="1:11" x14ac:dyDescent="0.2">
      <c r="A9" s="3" t="s">
        <v>106</v>
      </c>
      <c r="B9" s="1">
        <v>24</v>
      </c>
      <c r="C9" s="1">
        <v>1.1903634595123927E-2</v>
      </c>
      <c r="D9" s="1">
        <v>24</v>
      </c>
      <c r="E9" s="1">
        <v>1.0295468573874681E-2</v>
      </c>
      <c r="F9" s="1">
        <v>24</v>
      </c>
      <c r="G9" s="1">
        <v>1.1725665551873968E-2</v>
      </c>
      <c r="H9" s="1">
        <v>24</v>
      </c>
      <c r="I9" s="1">
        <v>3.1249908153725414E-3</v>
      </c>
      <c r="J9" s="1">
        <v>96</v>
      </c>
      <c r="K9" s="1">
        <v>9.2624398840612798E-3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C5BB-13DD-DF44-B9CA-CDA872A4605A}">
  <dimension ref="A1:H103"/>
  <sheetViews>
    <sheetView workbookViewId="0">
      <selection activeCell="D30" sqref="D30"/>
    </sheetView>
  </sheetViews>
  <sheetFormatPr baseColWidth="10" defaultRowHeight="16" x14ac:dyDescent="0.2"/>
  <cols>
    <col min="5" max="5" width="34.5" bestFit="1" customWidth="1"/>
  </cols>
  <sheetData>
    <row r="1" spans="1:8" x14ac:dyDescent="0.2"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 x14ac:dyDescent="0.2">
      <c r="A2" t="str">
        <f>B2&amp;C2</f>
        <v>301</v>
      </c>
      <c r="B2">
        <v>30</v>
      </c>
      <c r="C2">
        <v>1</v>
      </c>
      <c r="D2" t="s">
        <v>0</v>
      </c>
      <c r="E2" t="s">
        <v>1</v>
      </c>
      <c r="F2">
        <v>100000</v>
      </c>
      <c r="G2">
        <v>10</v>
      </c>
      <c r="H2">
        <v>564.13478690584202</v>
      </c>
    </row>
    <row r="3" spans="1:8" x14ac:dyDescent="0.2">
      <c r="A3" t="str">
        <f t="shared" ref="A3:A66" si="0">B3&amp;C3</f>
        <v>302</v>
      </c>
      <c r="B3">
        <v>30</v>
      </c>
      <c r="C3">
        <v>2</v>
      </c>
      <c r="D3" t="s">
        <v>0</v>
      </c>
      <c r="E3" t="s">
        <v>9</v>
      </c>
      <c r="F3">
        <v>100000</v>
      </c>
      <c r="G3">
        <v>10</v>
      </c>
      <c r="H3">
        <v>463.72986594221999</v>
      </c>
    </row>
    <row r="4" spans="1:8" x14ac:dyDescent="0.2">
      <c r="A4" t="str">
        <f t="shared" si="0"/>
        <v>303</v>
      </c>
      <c r="B4">
        <v>30</v>
      </c>
      <c r="C4">
        <v>3</v>
      </c>
      <c r="D4" t="s">
        <v>0</v>
      </c>
      <c r="E4" t="s">
        <v>13</v>
      </c>
      <c r="F4">
        <v>100000</v>
      </c>
      <c r="G4">
        <v>10</v>
      </c>
      <c r="H4">
        <v>275</v>
      </c>
    </row>
    <row r="5" spans="1:8" x14ac:dyDescent="0.2">
      <c r="A5" t="str">
        <f t="shared" si="0"/>
        <v>304</v>
      </c>
      <c r="B5">
        <v>30</v>
      </c>
      <c r="C5">
        <v>4</v>
      </c>
      <c r="D5" t="s">
        <v>0</v>
      </c>
      <c r="E5" t="s">
        <v>17</v>
      </c>
      <c r="F5">
        <v>100000</v>
      </c>
      <c r="G5">
        <v>10</v>
      </c>
      <c r="H5">
        <v>397.001732613603</v>
      </c>
    </row>
    <row r="6" spans="1:8" x14ac:dyDescent="0.2">
      <c r="A6" t="str">
        <f t="shared" si="0"/>
        <v>305</v>
      </c>
      <c r="B6">
        <v>30</v>
      </c>
      <c r="C6">
        <v>5</v>
      </c>
      <c r="D6" t="s">
        <v>0</v>
      </c>
      <c r="E6" t="s">
        <v>21</v>
      </c>
      <c r="F6">
        <v>100000</v>
      </c>
      <c r="G6">
        <v>10</v>
      </c>
      <c r="H6">
        <v>321.39979977021602</v>
      </c>
    </row>
    <row r="7" spans="1:8" x14ac:dyDescent="0.2">
      <c r="A7" t="str">
        <f t="shared" si="0"/>
        <v>307</v>
      </c>
      <c r="B7">
        <v>30</v>
      </c>
      <c r="C7">
        <v>7</v>
      </c>
      <c r="D7" t="s">
        <v>0</v>
      </c>
      <c r="E7" t="s">
        <v>25</v>
      </c>
      <c r="F7">
        <v>100000</v>
      </c>
      <c r="G7">
        <v>10</v>
      </c>
      <c r="H7">
        <v>388</v>
      </c>
    </row>
    <row r="8" spans="1:8" x14ac:dyDescent="0.2">
      <c r="A8" t="str">
        <f t="shared" si="0"/>
        <v>308</v>
      </c>
      <c r="B8">
        <v>30</v>
      </c>
      <c r="C8">
        <v>8</v>
      </c>
      <c r="D8" t="s">
        <v>0</v>
      </c>
      <c r="E8" t="s">
        <v>28</v>
      </c>
      <c r="F8">
        <v>100000</v>
      </c>
      <c r="G8">
        <v>10</v>
      </c>
      <c r="H8">
        <v>330</v>
      </c>
    </row>
    <row r="9" spans="1:8" x14ac:dyDescent="0.2">
      <c r="A9" t="str">
        <f t="shared" si="0"/>
        <v>309</v>
      </c>
      <c r="B9">
        <v>30</v>
      </c>
      <c r="C9">
        <v>9</v>
      </c>
      <c r="D9" t="s">
        <v>0</v>
      </c>
      <c r="E9" t="s">
        <v>31</v>
      </c>
      <c r="F9">
        <v>100000</v>
      </c>
      <c r="G9">
        <v>10</v>
      </c>
      <c r="H9">
        <v>371.009410406531</v>
      </c>
    </row>
    <row r="10" spans="1:8" x14ac:dyDescent="0.2">
      <c r="A10" t="str">
        <f t="shared" si="0"/>
        <v>3010</v>
      </c>
      <c r="B10">
        <v>30</v>
      </c>
      <c r="C10">
        <v>10</v>
      </c>
      <c r="D10" t="s">
        <v>0</v>
      </c>
      <c r="E10" t="s">
        <v>35</v>
      </c>
      <c r="F10">
        <v>100000</v>
      </c>
      <c r="G10">
        <v>10</v>
      </c>
      <c r="H10">
        <v>688.06318745206397</v>
      </c>
    </row>
    <row r="11" spans="1:8" x14ac:dyDescent="0.2">
      <c r="A11" t="str">
        <f t="shared" si="0"/>
        <v>401</v>
      </c>
      <c r="B11">
        <v>40</v>
      </c>
      <c r="C11">
        <v>1</v>
      </c>
      <c r="D11" t="s">
        <v>0</v>
      </c>
      <c r="E11" t="s">
        <v>38</v>
      </c>
      <c r="F11">
        <v>100000</v>
      </c>
      <c r="G11">
        <v>10</v>
      </c>
      <c r="H11">
        <v>509.23269528755299</v>
      </c>
    </row>
    <row r="12" spans="1:8" x14ac:dyDescent="0.2">
      <c r="A12" t="str">
        <f t="shared" si="0"/>
        <v>402</v>
      </c>
      <c r="B12">
        <v>40</v>
      </c>
      <c r="C12">
        <v>2</v>
      </c>
      <c r="D12" t="s">
        <v>0</v>
      </c>
      <c r="E12" t="s">
        <v>40</v>
      </c>
      <c r="F12">
        <v>100000</v>
      </c>
      <c r="G12">
        <v>10</v>
      </c>
      <c r="H12">
        <v>496.954405994441</v>
      </c>
    </row>
    <row r="13" spans="1:8" x14ac:dyDescent="0.2">
      <c r="A13" t="str">
        <f t="shared" si="0"/>
        <v>403</v>
      </c>
      <c r="B13">
        <v>40</v>
      </c>
      <c r="C13">
        <v>3</v>
      </c>
      <c r="D13" t="s">
        <v>0</v>
      </c>
      <c r="E13" t="s">
        <v>42</v>
      </c>
      <c r="F13">
        <v>100000</v>
      </c>
      <c r="G13">
        <v>10</v>
      </c>
      <c r="H13">
        <v>454.51928028419798</v>
      </c>
    </row>
    <row r="14" spans="1:8" x14ac:dyDescent="0.2">
      <c r="A14" t="str">
        <f t="shared" si="0"/>
        <v>406</v>
      </c>
      <c r="B14">
        <v>40</v>
      </c>
      <c r="C14">
        <v>6</v>
      </c>
      <c r="D14" t="s">
        <v>0</v>
      </c>
      <c r="E14" t="s">
        <v>44</v>
      </c>
      <c r="F14">
        <v>100000</v>
      </c>
      <c r="G14">
        <v>10</v>
      </c>
      <c r="H14">
        <v>264.17242840239601</v>
      </c>
    </row>
    <row r="15" spans="1:8" x14ac:dyDescent="0.2">
      <c r="A15" t="str">
        <f t="shared" si="0"/>
        <v>407</v>
      </c>
      <c r="B15">
        <v>40</v>
      </c>
      <c r="C15">
        <v>7</v>
      </c>
      <c r="D15" t="s">
        <v>0</v>
      </c>
      <c r="E15" t="s">
        <v>48</v>
      </c>
      <c r="F15">
        <v>100000</v>
      </c>
      <c r="G15">
        <v>10</v>
      </c>
      <c r="H15">
        <v>168</v>
      </c>
    </row>
    <row r="16" spans="1:8" x14ac:dyDescent="0.2">
      <c r="A16" t="str">
        <f t="shared" si="0"/>
        <v>408</v>
      </c>
      <c r="B16">
        <v>40</v>
      </c>
      <c r="C16">
        <v>8</v>
      </c>
      <c r="D16" t="s">
        <v>0</v>
      </c>
      <c r="E16" t="s">
        <v>51</v>
      </c>
      <c r="F16">
        <v>100000</v>
      </c>
      <c r="G16">
        <v>10</v>
      </c>
      <c r="H16">
        <v>584.99820484905604</v>
      </c>
    </row>
    <row r="17" spans="1:8" x14ac:dyDescent="0.2">
      <c r="A17" t="str">
        <f t="shared" si="0"/>
        <v>409</v>
      </c>
      <c r="B17">
        <v>40</v>
      </c>
      <c r="C17">
        <v>9</v>
      </c>
      <c r="D17" t="s">
        <v>0</v>
      </c>
      <c r="E17" t="s">
        <v>54</v>
      </c>
      <c r="F17">
        <v>100000</v>
      </c>
      <c r="G17">
        <v>10</v>
      </c>
      <c r="H17">
        <v>458.16802167440301</v>
      </c>
    </row>
    <row r="18" spans="1:8" x14ac:dyDescent="0.2">
      <c r="A18" t="str">
        <f t="shared" si="0"/>
        <v>4010</v>
      </c>
      <c r="B18">
        <v>40</v>
      </c>
      <c r="C18">
        <v>10</v>
      </c>
      <c r="D18" t="s">
        <v>0</v>
      </c>
      <c r="E18" t="s">
        <v>56</v>
      </c>
      <c r="F18">
        <v>100000</v>
      </c>
      <c r="G18">
        <v>10</v>
      </c>
      <c r="H18">
        <v>486.51259095187299</v>
      </c>
    </row>
    <row r="19" spans="1:8" x14ac:dyDescent="0.2">
      <c r="A19" t="str">
        <f t="shared" si="0"/>
        <v>503</v>
      </c>
      <c r="B19">
        <v>50</v>
      </c>
      <c r="C19">
        <v>3</v>
      </c>
      <c r="D19" t="s">
        <v>0</v>
      </c>
      <c r="E19" t="s">
        <v>58</v>
      </c>
      <c r="F19">
        <v>100000</v>
      </c>
      <c r="G19">
        <v>10</v>
      </c>
      <c r="H19">
        <v>360.99828766528401</v>
      </c>
    </row>
    <row r="20" spans="1:8" x14ac:dyDescent="0.2">
      <c r="A20" t="str">
        <f t="shared" si="0"/>
        <v>504</v>
      </c>
      <c r="B20">
        <v>50</v>
      </c>
      <c r="C20">
        <v>4</v>
      </c>
      <c r="D20" t="s">
        <v>0</v>
      </c>
      <c r="E20" t="s">
        <v>62</v>
      </c>
      <c r="F20">
        <v>100000</v>
      </c>
      <c r="G20">
        <v>10</v>
      </c>
      <c r="H20">
        <v>357.94404422289</v>
      </c>
    </row>
    <row r="21" spans="1:8" x14ac:dyDescent="0.2">
      <c r="A21" t="str">
        <f t="shared" si="0"/>
        <v>505</v>
      </c>
      <c r="B21">
        <v>50</v>
      </c>
      <c r="C21">
        <v>5</v>
      </c>
      <c r="D21" t="s">
        <v>0</v>
      </c>
      <c r="E21" t="s">
        <v>66</v>
      </c>
      <c r="F21">
        <v>100000</v>
      </c>
      <c r="G21">
        <v>10</v>
      </c>
      <c r="H21">
        <v>531</v>
      </c>
    </row>
    <row r="22" spans="1:8" x14ac:dyDescent="0.2">
      <c r="A22" t="str">
        <f t="shared" si="0"/>
        <v>506</v>
      </c>
      <c r="B22">
        <v>50</v>
      </c>
      <c r="C22">
        <v>6</v>
      </c>
      <c r="D22" t="s">
        <v>0</v>
      </c>
      <c r="E22" t="s">
        <v>70</v>
      </c>
      <c r="F22">
        <v>100000</v>
      </c>
      <c r="G22">
        <v>10</v>
      </c>
      <c r="H22">
        <v>275.73228931258302</v>
      </c>
    </row>
    <row r="23" spans="1:8" x14ac:dyDescent="0.2">
      <c r="A23" t="str">
        <f t="shared" si="0"/>
        <v>507</v>
      </c>
      <c r="B23">
        <v>50</v>
      </c>
      <c r="C23">
        <v>7</v>
      </c>
      <c r="D23" t="s">
        <v>0</v>
      </c>
      <c r="E23" t="s">
        <v>74</v>
      </c>
      <c r="F23">
        <v>100000</v>
      </c>
      <c r="G23">
        <v>10</v>
      </c>
      <c r="H23">
        <v>204.000144495554</v>
      </c>
    </row>
    <row r="24" spans="1:8" x14ac:dyDescent="0.2">
      <c r="A24" t="str">
        <f t="shared" si="0"/>
        <v>508</v>
      </c>
      <c r="B24">
        <v>50</v>
      </c>
      <c r="C24">
        <v>8</v>
      </c>
      <c r="D24" t="s">
        <v>0</v>
      </c>
      <c r="E24" t="s">
        <v>78</v>
      </c>
      <c r="F24">
        <v>100000</v>
      </c>
      <c r="G24">
        <v>10</v>
      </c>
      <c r="H24">
        <v>168</v>
      </c>
    </row>
    <row r="25" spans="1:8" x14ac:dyDescent="0.2">
      <c r="A25" t="str">
        <f t="shared" si="0"/>
        <v>509</v>
      </c>
      <c r="B25">
        <v>50</v>
      </c>
      <c r="C25">
        <v>9</v>
      </c>
      <c r="D25" t="s">
        <v>0</v>
      </c>
      <c r="E25" t="s">
        <v>82</v>
      </c>
      <c r="F25">
        <v>100000</v>
      </c>
      <c r="G25">
        <v>10</v>
      </c>
      <c r="H25">
        <v>353.47810742444699</v>
      </c>
    </row>
    <row r="26" spans="1:8" x14ac:dyDescent="0.2">
      <c r="A26" t="str">
        <f t="shared" si="0"/>
        <v/>
      </c>
    </row>
    <row r="27" spans="1:8" x14ac:dyDescent="0.2">
      <c r="A27" t="str">
        <f t="shared" si="0"/>
        <v/>
      </c>
    </row>
    <row r="28" spans="1:8" x14ac:dyDescent="0.2">
      <c r="A28" t="str">
        <f t="shared" si="0"/>
        <v/>
      </c>
    </row>
    <row r="29" spans="1:8" x14ac:dyDescent="0.2">
      <c r="A29" t="str">
        <f t="shared" si="0"/>
        <v/>
      </c>
    </row>
    <row r="30" spans="1:8" x14ac:dyDescent="0.2">
      <c r="A30" t="str">
        <f t="shared" si="0"/>
        <v/>
      </c>
    </row>
    <row r="31" spans="1:8" x14ac:dyDescent="0.2">
      <c r="A31" t="str">
        <f t="shared" si="0"/>
        <v/>
      </c>
    </row>
    <row r="32" spans="1:8" x14ac:dyDescent="0.2">
      <c r="A32" t="str">
        <f t="shared" si="0"/>
        <v/>
      </c>
    </row>
    <row r="33" spans="1:1" x14ac:dyDescent="0.2">
      <c r="A33" t="str">
        <f t="shared" si="0"/>
        <v/>
      </c>
    </row>
    <row r="34" spans="1:1" x14ac:dyDescent="0.2">
      <c r="A34" t="str">
        <f t="shared" si="0"/>
        <v/>
      </c>
    </row>
    <row r="35" spans="1:1" x14ac:dyDescent="0.2">
      <c r="A35" t="str">
        <f t="shared" si="0"/>
        <v/>
      </c>
    </row>
    <row r="36" spans="1:1" x14ac:dyDescent="0.2">
      <c r="A36" t="str">
        <f t="shared" si="0"/>
        <v/>
      </c>
    </row>
    <row r="37" spans="1:1" x14ac:dyDescent="0.2">
      <c r="A37" t="str">
        <f t="shared" si="0"/>
        <v/>
      </c>
    </row>
    <row r="38" spans="1:1" x14ac:dyDescent="0.2">
      <c r="A38" t="str">
        <f t="shared" si="0"/>
        <v/>
      </c>
    </row>
    <row r="39" spans="1:1" x14ac:dyDescent="0.2">
      <c r="A39" t="str">
        <f t="shared" si="0"/>
        <v/>
      </c>
    </row>
    <row r="40" spans="1:1" x14ac:dyDescent="0.2">
      <c r="A40" t="str">
        <f t="shared" si="0"/>
        <v/>
      </c>
    </row>
    <row r="41" spans="1:1" x14ac:dyDescent="0.2">
      <c r="A41" t="str">
        <f t="shared" si="0"/>
        <v/>
      </c>
    </row>
    <row r="42" spans="1:1" x14ac:dyDescent="0.2">
      <c r="A42" t="str">
        <f t="shared" si="0"/>
        <v/>
      </c>
    </row>
    <row r="43" spans="1:1" x14ac:dyDescent="0.2">
      <c r="A43" t="str">
        <f t="shared" si="0"/>
        <v/>
      </c>
    </row>
    <row r="44" spans="1:1" x14ac:dyDescent="0.2">
      <c r="A44" t="str">
        <f t="shared" si="0"/>
        <v/>
      </c>
    </row>
    <row r="45" spans="1:1" x14ac:dyDescent="0.2">
      <c r="A45" t="str">
        <f t="shared" si="0"/>
        <v/>
      </c>
    </row>
    <row r="46" spans="1:1" x14ac:dyDescent="0.2">
      <c r="A46" t="str">
        <f t="shared" si="0"/>
        <v/>
      </c>
    </row>
    <row r="47" spans="1:1" x14ac:dyDescent="0.2">
      <c r="A47" t="str">
        <f t="shared" si="0"/>
        <v/>
      </c>
    </row>
    <row r="48" spans="1:1" x14ac:dyDescent="0.2">
      <c r="A48" t="str">
        <f t="shared" si="0"/>
        <v/>
      </c>
    </row>
    <row r="49" spans="1:1" x14ac:dyDescent="0.2">
      <c r="A49" t="str">
        <f t="shared" si="0"/>
        <v/>
      </c>
    </row>
    <row r="50" spans="1:1" x14ac:dyDescent="0.2">
      <c r="A50" t="str">
        <f t="shared" si="0"/>
        <v/>
      </c>
    </row>
    <row r="51" spans="1:1" x14ac:dyDescent="0.2">
      <c r="A51" t="str">
        <f t="shared" si="0"/>
        <v/>
      </c>
    </row>
    <row r="52" spans="1:1" x14ac:dyDescent="0.2">
      <c r="A52" t="str">
        <f t="shared" si="0"/>
        <v/>
      </c>
    </row>
    <row r="53" spans="1:1" x14ac:dyDescent="0.2">
      <c r="A53" t="str">
        <f t="shared" si="0"/>
        <v/>
      </c>
    </row>
    <row r="54" spans="1:1" x14ac:dyDescent="0.2">
      <c r="A54" t="str">
        <f t="shared" si="0"/>
        <v/>
      </c>
    </row>
    <row r="55" spans="1:1" x14ac:dyDescent="0.2">
      <c r="A55" t="str">
        <f t="shared" si="0"/>
        <v/>
      </c>
    </row>
    <row r="56" spans="1:1" x14ac:dyDescent="0.2">
      <c r="A56" t="str">
        <f t="shared" si="0"/>
        <v/>
      </c>
    </row>
    <row r="57" spans="1:1" x14ac:dyDescent="0.2">
      <c r="A57" t="str">
        <f t="shared" si="0"/>
        <v/>
      </c>
    </row>
    <row r="58" spans="1:1" x14ac:dyDescent="0.2">
      <c r="A58" t="str">
        <f t="shared" si="0"/>
        <v/>
      </c>
    </row>
    <row r="59" spans="1:1" x14ac:dyDescent="0.2">
      <c r="A59" t="str">
        <f t="shared" si="0"/>
        <v/>
      </c>
    </row>
    <row r="60" spans="1:1" x14ac:dyDescent="0.2">
      <c r="A60" t="str">
        <f t="shared" si="0"/>
        <v/>
      </c>
    </row>
    <row r="61" spans="1:1" x14ac:dyDescent="0.2">
      <c r="A61" t="str">
        <f t="shared" si="0"/>
        <v/>
      </c>
    </row>
    <row r="62" spans="1:1" x14ac:dyDescent="0.2">
      <c r="A62" t="str">
        <f t="shared" si="0"/>
        <v/>
      </c>
    </row>
    <row r="63" spans="1:1" x14ac:dyDescent="0.2">
      <c r="A63" t="str">
        <f t="shared" si="0"/>
        <v/>
      </c>
    </row>
    <row r="64" spans="1:1" x14ac:dyDescent="0.2">
      <c r="A64" t="str">
        <f t="shared" si="0"/>
        <v/>
      </c>
    </row>
    <row r="65" spans="1:1" x14ac:dyDescent="0.2">
      <c r="A65" t="str">
        <f t="shared" si="0"/>
        <v/>
      </c>
    </row>
    <row r="66" spans="1:1" x14ac:dyDescent="0.2">
      <c r="A66" t="str">
        <f t="shared" si="0"/>
        <v/>
      </c>
    </row>
    <row r="67" spans="1:1" x14ac:dyDescent="0.2">
      <c r="A67" t="str">
        <f t="shared" ref="A67:A103" si="1">B67&amp;C67</f>
        <v/>
      </c>
    </row>
    <row r="68" spans="1:1" x14ac:dyDescent="0.2">
      <c r="A68" t="str">
        <f t="shared" si="1"/>
        <v/>
      </c>
    </row>
    <row r="69" spans="1:1" x14ac:dyDescent="0.2">
      <c r="A69" t="str">
        <f t="shared" si="1"/>
        <v/>
      </c>
    </row>
    <row r="70" spans="1:1" x14ac:dyDescent="0.2">
      <c r="A70" t="str">
        <f t="shared" si="1"/>
        <v/>
      </c>
    </row>
    <row r="71" spans="1:1" x14ac:dyDescent="0.2">
      <c r="A71" t="str">
        <f t="shared" si="1"/>
        <v/>
      </c>
    </row>
    <row r="72" spans="1:1" x14ac:dyDescent="0.2">
      <c r="A72" t="str">
        <f t="shared" si="1"/>
        <v/>
      </c>
    </row>
    <row r="73" spans="1:1" x14ac:dyDescent="0.2">
      <c r="A73" t="str">
        <f t="shared" si="1"/>
        <v/>
      </c>
    </row>
    <row r="74" spans="1:1" x14ac:dyDescent="0.2">
      <c r="A74" t="str">
        <f t="shared" si="1"/>
        <v/>
      </c>
    </row>
    <row r="75" spans="1:1" x14ac:dyDescent="0.2">
      <c r="A75" t="str">
        <f t="shared" si="1"/>
        <v/>
      </c>
    </row>
    <row r="76" spans="1:1" x14ac:dyDescent="0.2">
      <c r="A76" t="str">
        <f t="shared" si="1"/>
        <v/>
      </c>
    </row>
    <row r="77" spans="1:1" x14ac:dyDescent="0.2">
      <c r="A77" t="str">
        <f t="shared" si="1"/>
        <v/>
      </c>
    </row>
    <row r="78" spans="1:1" x14ac:dyDescent="0.2">
      <c r="A78" t="str">
        <f t="shared" si="1"/>
        <v/>
      </c>
    </row>
    <row r="79" spans="1:1" x14ac:dyDescent="0.2">
      <c r="A79" t="str">
        <f t="shared" si="1"/>
        <v/>
      </c>
    </row>
    <row r="80" spans="1:1" x14ac:dyDescent="0.2">
      <c r="A80" t="str">
        <f t="shared" si="1"/>
        <v/>
      </c>
    </row>
    <row r="81" spans="1:1" x14ac:dyDescent="0.2">
      <c r="A81" t="str">
        <f t="shared" si="1"/>
        <v/>
      </c>
    </row>
    <row r="82" spans="1:1" x14ac:dyDescent="0.2">
      <c r="A82" t="str">
        <f t="shared" si="1"/>
        <v/>
      </c>
    </row>
    <row r="83" spans="1:1" x14ac:dyDescent="0.2">
      <c r="A83" t="str">
        <f t="shared" si="1"/>
        <v/>
      </c>
    </row>
    <row r="84" spans="1:1" x14ac:dyDescent="0.2">
      <c r="A84" t="str">
        <f t="shared" si="1"/>
        <v/>
      </c>
    </row>
    <row r="85" spans="1:1" x14ac:dyDescent="0.2">
      <c r="A85" t="str">
        <f t="shared" si="1"/>
        <v/>
      </c>
    </row>
    <row r="86" spans="1:1" x14ac:dyDescent="0.2">
      <c r="A86" t="str">
        <f t="shared" si="1"/>
        <v/>
      </c>
    </row>
    <row r="87" spans="1:1" x14ac:dyDescent="0.2">
      <c r="A87" t="str">
        <f t="shared" si="1"/>
        <v/>
      </c>
    </row>
    <row r="88" spans="1:1" x14ac:dyDescent="0.2">
      <c r="A88" t="str">
        <f t="shared" si="1"/>
        <v/>
      </c>
    </row>
    <row r="89" spans="1:1" x14ac:dyDescent="0.2">
      <c r="A89" t="str">
        <f t="shared" si="1"/>
        <v/>
      </c>
    </row>
    <row r="90" spans="1:1" x14ac:dyDescent="0.2">
      <c r="A90" t="str">
        <f t="shared" si="1"/>
        <v/>
      </c>
    </row>
    <row r="91" spans="1:1" x14ac:dyDescent="0.2">
      <c r="A91" t="str">
        <f t="shared" si="1"/>
        <v/>
      </c>
    </row>
    <row r="92" spans="1:1" x14ac:dyDescent="0.2">
      <c r="A92" t="str">
        <f t="shared" si="1"/>
        <v/>
      </c>
    </row>
    <row r="93" spans="1:1" x14ac:dyDescent="0.2">
      <c r="A93" t="str">
        <f t="shared" si="1"/>
        <v/>
      </c>
    </row>
    <row r="94" spans="1:1" x14ac:dyDescent="0.2">
      <c r="A94" t="str">
        <f t="shared" si="1"/>
        <v/>
      </c>
    </row>
    <row r="95" spans="1:1" x14ac:dyDescent="0.2">
      <c r="A95" t="str">
        <f t="shared" si="1"/>
        <v/>
      </c>
    </row>
    <row r="96" spans="1:1" x14ac:dyDescent="0.2">
      <c r="A96" t="str">
        <f t="shared" si="1"/>
        <v/>
      </c>
    </row>
    <row r="97" spans="1:1" x14ac:dyDescent="0.2">
      <c r="A97" t="str">
        <f t="shared" si="1"/>
        <v/>
      </c>
    </row>
    <row r="98" spans="1:1" x14ac:dyDescent="0.2">
      <c r="A98" t="str">
        <f t="shared" si="1"/>
        <v/>
      </c>
    </row>
    <row r="99" spans="1:1" x14ac:dyDescent="0.2">
      <c r="A99" t="str">
        <f t="shared" si="1"/>
        <v/>
      </c>
    </row>
    <row r="100" spans="1:1" x14ac:dyDescent="0.2">
      <c r="A100" t="str">
        <f t="shared" si="1"/>
        <v/>
      </c>
    </row>
    <row r="101" spans="1:1" x14ac:dyDescent="0.2">
      <c r="A101" t="str">
        <f t="shared" si="1"/>
        <v/>
      </c>
    </row>
    <row r="102" spans="1:1" x14ac:dyDescent="0.2">
      <c r="A102" t="str">
        <f t="shared" si="1"/>
        <v/>
      </c>
    </row>
    <row r="103" spans="1:1" x14ac:dyDescent="0.2">
      <c r="A103" t="str">
        <f t="shared" si="1"/>
        <v/>
      </c>
    </row>
  </sheetData>
  <autoFilter ref="B1:H103" xr:uid="{C49EC5BB-13DD-DF44-B9CA-CDA872A4605A}">
    <sortState xmlns:xlrd2="http://schemas.microsoft.com/office/spreadsheetml/2017/richdata2" ref="B2:H103">
      <sortCondition ref="D1:D1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SolutionVerification_Orig</vt:lpstr>
      <vt:lpstr>SolutionVerification</vt:lpstr>
      <vt:lpstr>N40_SAA</vt:lpstr>
      <vt:lpstr>N40_SAA-AP</vt:lpstr>
      <vt:lpstr>N40_Seq</vt:lpstr>
      <vt:lpstr>N50_Lazy</vt:lpstr>
      <vt:lpstr>N50_SAA</vt:lpstr>
      <vt:lpstr>N50_SAA-AP</vt:lpstr>
      <vt:lpstr>N50_Seq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Nguyen</dc:creator>
  <cp:lastModifiedBy>Di Nguyen</cp:lastModifiedBy>
  <dcterms:created xsi:type="dcterms:W3CDTF">2024-10-01T07:23:44Z</dcterms:created>
  <dcterms:modified xsi:type="dcterms:W3CDTF">2024-10-01T12:12:36Z</dcterms:modified>
</cp:coreProperties>
</file>