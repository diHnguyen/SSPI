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guyen/Desktop/Local Documents/GitHub/Paper5/PythonConversion/"/>
    </mc:Choice>
  </mc:AlternateContent>
  <xr:revisionPtr revIDLastSave="0" documentId="13_ncr:9_{5BA8EDFB-2821-884A-AB84-9863999A72FE}" xr6:coauthVersionLast="47" xr6:coauthVersionMax="47" xr10:uidLastSave="{00000000-0000-0000-0000-000000000000}"/>
  <bookViews>
    <workbookView xWindow="440" yWindow="800" windowWidth="16420" windowHeight="17340" xr2:uid="{C2FBBCA1-DE3A-5744-9820-CE6F05FF49CC}"/>
  </bookViews>
  <sheets>
    <sheet name="N30_Strat4_Comp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N30" i="1"/>
  <c r="N29" i="1"/>
  <c r="N28" i="1"/>
  <c r="N27" i="1"/>
  <c r="N26" i="1"/>
  <c r="N25" i="1"/>
  <c r="N24" i="1"/>
  <c r="N21" i="1"/>
  <c r="N20" i="1"/>
  <c r="N19" i="1"/>
  <c r="N18" i="1"/>
  <c r="N17" i="1"/>
  <c r="N16" i="1"/>
  <c r="N15" i="1"/>
  <c r="N14" i="1"/>
  <c r="N13" i="1"/>
  <c r="N4" i="1"/>
  <c r="N5" i="1"/>
  <c r="N6" i="1"/>
  <c r="N7" i="1"/>
  <c r="N8" i="1"/>
  <c r="N9" i="1"/>
  <c r="N10" i="1"/>
  <c r="N3" i="1"/>
  <c r="M33" i="1"/>
  <c r="K33" i="1"/>
  <c r="M32" i="1"/>
  <c r="M22" i="1"/>
  <c r="M11" i="1"/>
  <c r="K11" i="1"/>
  <c r="K32" i="1"/>
  <c r="K22" i="1"/>
  <c r="M31" i="1"/>
  <c r="M30" i="1"/>
  <c r="M29" i="1"/>
  <c r="M28" i="1"/>
  <c r="M27" i="1"/>
  <c r="M26" i="1"/>
  <c r="M25" i="1"/>
  <c r="M24" i="1"/>
  <c r="M21" i="1"/>
  <c r="M20" i="1"/>
  <c r="M19" i="1"/>
  <c r="M18" i="1"/>
  <c r="M17" i="1"/>
  <c r="M16" i="1"/>
  <c r="M15" i="1"/>
  <c r="M14" i="1"/>
  <c r="M13" i="1"/>
  <c r="M4" i="1"/>
  <c r="M5" i="1"/>
  <c r="M6" i="1"/>
  <c r="M7" i="1"/>
  <c r="M8" i="1"/>
  <c r="M9" i="1"/>
  <c r="M10" i="1"/>
  <c r="M3" i="1"/>
</calcChain>
</file>

<file path=xl/sharedStrings.xml><?xml version="1.0" encoding="utf-8"?>
<sst xmlns="http://schemas.openxmlformats.org/spreadsheetml/2006/main" count="47" uniqueCount="23">
  <si>
    <t>total_time_x</t>
  </si>
  <si>
    <t>ObjVal_x</t>
  </si>
  <si>
    <t>LB_x</t>
  </si>
  <si>
    <t>Ins</t>
  </si>
  <si>
    <t>OptGap_x</t>
  </si>
  <si>
    <t>total_time_y</t>
  </si>
  <si>
    <t>ObjVal_y</t>
  </si>
  <si>
    <t>LB_y</t>
  </si>
  <si>
    <t>OptGap_y</t>
  </si>
  <si>
    <t>diff_LB_yminusx</t>
  </si>
  <si>
    <t>diff_time_yminusx</t>
  </si>
  <si>
    <t>Strat4</t>
  </si>
  <si>
    <t>Default</t>
  </si>
  <si>
    <t>N30</t>
  </si>
  <si>
    <t>diff_Optgap</t>
  </si>
  <si>
    <t>*optGap_Default is generally &lt;= optGap_Strat4</t>
  </si>
  <si>
    <t>diff = optGap_Default - optGap_Strat4</t>
  </si>
  <si>
    <t>mult = optGap_Default/optGap_Strat4</t>
  </si>
  <si>
    <t>mult_Optgap</t>
  </si>
  <si>
    <t>N40</t>
  </si>
  <si>
    <t>N50</t>
  </si>
  <si>
    <t>diff = 0.2?</t>
  </si>
  <si>
    <t>mult = 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</si>
</sst>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2" fontId="0" fillId="0" borderId="0" xfId="0" applyNumberFormat="1" applyAlignment="1">
      <alignment horizontal="center"/>
    </xf>
    <xf numFmtId="0" fontId="18" fillId="0" borderId="0" xfId="0" applyFont="1"/>
    <xf numFmtId="2" fontId="19" fillId="34" borderId="0" xfId="0" applyNumberFormat="1" applyFont="1" applyFill="1" applyAlignment="1">
      <alignment horizontal="center"/>
    </xf>
    <xf numFmtId="2" fontId="19" fillId="3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2" fontId="0" fillId="34" borderId="0" xfId="0" applyNumberFormat="1" applyFill="1" applyAlignment="1">
      <alignment horizontal="center"/>
    </xf>
    <xf numFmtId="2" fontId="0" fillId="33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34" borderId="0" xfId="0" quotePrefix="1" applyNumberFormat="1" applyFill="1" applyAlignment="1">
      <alignment horizontal="center"/>
    </xf>
    <xf numFmtId="2" fontId="0" fillId="33" borderId="0" xfId="0" quotePrefix="1" applyNumberFormat="1" applyFill="1" applyAlignment="1">
      <alignment horizontal="center"/>
    </xf>
    <xf numFmtId="2" fontId="0" fillId="0" borderId="0" xfId="0" quotePrefix="1" applyNumberFormat="1" applyAlignment="1">
      <alignment horizontal="center"/>
    </xf>
    <xf numFmtId="2" fontId="19" fillId="0" borderId="0" xfId="0" applyNumberFormat="1" applyFont="1" applyAlignment="1">
      <alignment horizontal="center"/>
    </xf>
    <xf numFmtId="2" fontId="18" fillId="34" borderId="0" xfId="0" applyNumberFormat="1" applyFont="1" applyFill="1" applyAlignment="1">
      <alignment horizontal="center"/>
    </xf>
    <xf numFmtId="2" fontId="18" fillId="33" borderId="0" xfId="0" applyNumberFormat="1" applyFont="1" applyFill="1" applyAlignment="1">
      <alignment horizontal="center"/>
    </xf>
    <xf numFmtId="2" fontId="18" fillId="0" borderId="0" xfId="0" applyNumberFormat="1" applyFont="1" applyAlignment="1">
      <alignment horizontal="center"/>
    </xf>
    <xf numFmtId="0" fontId="0" fillId="33" borderId="0" xfId="0" applyFill="1" applyAlignment="1">
      <alignment horizontal="center"/>
    </xf>
    <xf numFmtId="2" fontId="14" fillId="0" borderId="0" xfId="0" applyNumberFormat="1" applyFont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2" fontId="0" fillId="33" borderId="11" xfId="0" applyNumberFormat="1" applyFill="1" applyBorder="1" applyAlignment="1">
      <alignment horizontal="center"/>
    </xf>
    <xf numFmtId="2" fontId="0" fillId="33" borderId="10" xfId="0" quotePrefix="1" applyNumberFormat="1" applyFill="1" applyBorder="1" applyAlignment="1">
      <alignment horizontal="center"/>
    </xf>
    <xf numFmtId="2" fontId="0" fillId="33" borderId="11" xfId="0" quotePrefix="1" applyNumberForma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18" fillId="33" borderId="10" xfId="0" applyNumberFormat="1" applyFont="1" applyFill="1" applyBorder="1" applyAlignment="1">
      <alignment horizontal="center"/>
    </xf>
    <xf numFmtId="2" fontId="18" fillId="33" borderId="11" xfId="0" applyNumberFormat="1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2" fontId="0" fillId="34" borderId="0" xfId="0" applyNumberFormat="1" applyFill="1" applyBorder="1" applyAlignment="1">
      <alignment horizontal="center"/>
    </xf>
    <xf numFmtId="2" fontId="0" fillId="34" borderId="11" xfId="0" applyNumberFormat="1" applyFill="1" applyBorder="1" applyAlignment="1">
      <alignment horizontal="center"/>
    </xf>
    <xf numFmtId="2" fontId="0" fillId="34" borderId="10" xfId="0" quotePrefix="1" applyNumberFormat="1" applyFill="1" applyBorder="1" applyAlignment="1">
      <alignment horizontal="center"/>
    </xf>
    <xf numFmtId="2" fontId="0" fillId="34" borderId="11" xfId="0" quotePrefix="1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18" fillId="34" borderId="10" xfId="0" applyNumberFormat="1" applyFont="1" applyFill="1" applyBorder="1" applyAlignment="1">
      <alignment horizontal="center"/>
    </xf>
    <xf numFmtId="2" fontId="18" fillId="34" borderId="0" xfId="0" applyNumberFormat="1" applyFont="1" applyFill="1" applyBorder="1" applyAlignment="1">
      <alignment horizontal="center"/>
    </xf>
    <xf numFmtId="2" fontId="18" fillId="34" borderId="11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N30_Strat4_Compare!$M$2</c:f>
              <c:strCache>
                <c:ptCount val="1"/>
                <c:pt idx="0">
                  <c:v>diff_Optgap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(N30_Strat4_Compare!$M$3:$M$10,N30_Strat4_Compare!$M$13:$M$21,N30_Strat4_Compare!$M$24:$M$31)</c:f>
              <c:numCache>
                <c:formatCode>0.00</c:formatCode>
                <c:ptCount val="25"/>
                <c:pt idx="0">
                  <c:v>3.4040885168601043E-2</c:v>
                </c:pt>
                <c:pt idx="1">
                  <c:v>-0.29279570945276601</c:v>
                </c:pt>
                <c:pt idx="2">
                  <c:v>0</c:v>
                </c:pt>
                <c:pt idx="3">
                  <c:v>0.16767958118143</c:v>
                </c:pt>
                <c:pt idx="4">
                  <c:v>4.332883370210705E-2</c:v>
                </c:pt>
                <c:pt idx="5">
                  <c:v>-0.10244273533433002</c:v>
                </c:pt>
                <c:pt idx="6">
                  <c:v>7.6236223543749704E-3</c:v>
                </c:pt>
                <c:pt idx="7">
                  <c:v>0.15805521765610997</c:v>
                </c:pt>
                <c:pt idx="8">
                  <c:v>-0.29140767498425801</c:v>
                </c:pt>
                <c:pt idx="9">
                  <c:v>4.9881303517315012E-2</c:v>
                </c:pt>
                <c:pt idx="10">
                  <c:v>-9.3743023158890937E-2</c:v>
                </c:pt>
                <c:pt idx="11">
                  <c:v>-0.15934348263403608</c:v>
                </c:pt>
                <c:pt idx="12">
                  <c:v>-0.16964015729651605</c:v>
                </c:pt>
                <c:pt idx="13">
                  <c:v>-0.30104218336640198</c:v>
                </c:pt>
                <c:pt idx="14">
                  <c:v>3.290967145435697E-2</c:v>
                </c:pt>
                <c:pt idx="15">
                  <c:v>-8.0481407968789997E-2</c:v>
                </c:pt>
                <c:pt idx="16">
                  <c:v>-8.1618160712179977E-2</c:v>
                </c:pt>
                <c:pt idx="17">
                  <c:v>-0.32021014918408508</c:v>
                </c:pt>
                <c:pt idx="18">
                  <c:v>-9.359105823115943E-3</c:v>
                </c:pt>
                <c:pt idx="19">
                  <c:v>3.3690191900377031E-2</c:v>
                </c:pt>
                <c:pt idx="20">
                  <c:v>3.7093970593990999E-2</c:v>
                </c:pt>
                <c:pt idx="21">
                  <c:v>5.2523464123803043E-2</c:v>
                </c:pt>
                <c:pt idx="22">
                  <c:v>-0.14320232985154502</c:v>
                </c:pt>
                <c:pt idx="23">
                  <c:v>0.10379977027165399</c:v>
                </c:pt>
                <c:pt idx="24">
                  <c:v>3.8285114155459987E-2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5-D04A-A694-7DD84643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776159"/>
        <c:axId val="1379943359"/>
      </c:scatterChart>
      <c:valAx>
        <c:axId val="119977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943359"/>
        <c:crosses val="autoZero"/>
        <c:crossBetween val="midCat"/>
      </c:valAx>
      <c:valAx>
        <c:axId val="13799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7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241300</xdr:colOff>
      <xdr:row>0</xdr:row>
      <xdr:rowOff>107950</xdr:rowOff>
    </xdr:from>
    <xdr:to>
      <xdr:col>20</xdr:col>
      <xdr:colOff>317500</xdr:colOff>
      <xdr:row>14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B88D36-C749-CCD8-708C-3ABC6D3EF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12700</xdr:colOff>
      <xdr:row>15</xdr:row>
      <xdr:rowOff>12700</xdr:rowOff>
    </xdr:from>
    <xdr:to>
      <xdr:col>18</xdr:col>
      <xdr:colOff>228600</xdr:colOff>
      <xdr:row>17</xdr:row>
      <xdr:rowOff>12700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2785B40-AFC6-69CB-7E10-C2EEA782DCF0}"/>
            </a:ext>
          </a:extLst>
        </xdr:cNvPr>
        <xdr:cNvSpPr/>
      </xdr:nvSpPr>
      <xdr:spPr>
        <a:xfrm>
          <a:off x="13360400" y="3060700"/>
          <a:ext cx="18669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Is</a:t>
          </a:r>
          <a:r>
            <a:rPr lang="en-GB" sz="1400" baseline="0"/>
            <a:t> gx - hx &lt;= delta2*gx?</a:t>
          </a:r>
          <a:endParaRPr lang="en-GB" sz="1400"/>
        </a:p>
      </xdr:txBody>
    </xdr:sp>
    <xdr:clientData/>
  </xdr:twoCellAnchor>
  <xdr:twoCellAnchor>
    <xdr:from>
      <xdr:col>14</xdr:col>
      <xdr:colOff>266700</xdr:colOff>
      <xdr:row>19</xdr:row>
      <xdr:rowOff>190500</xdr:rowOff>
    </xdr:from>
    <xdr:to>
      <xdr:col>16</xdr:col>
      <xdr:colOff>482600</xdr:colOff>
      <xdr:row>21</xdr:row>
      <xdr:rowOff>190500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97CBE58-B358-DB4B-8376-0A2354DAA8A9}"/>
            </a:ext>
          </a:extLst>
        </xdr:cNvPr>
        <xdr:cNvSpPr/>
      </xdr:nvSpPr>
      <xdr:spPr>
        <a:xfrm>
          <a:off x="11963400" y="4051300"/>
          <a:ext cx="18669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Stop</a:t>
          </a:r>
          <a:r>
            <a:rPr lang="en-GB" sz="1400" baseline="0"/>
            <a:t> (No Partition)</a:t>
          </a:r>
          <a:endParaRPr lang="en-GB" sz="1400"/>
        </a:p>
      </xdr:txBody>
    </xdr:sp>
    <xdr:clientData/>
  </xdr:twoCellAnchor>
  <xdr:twoCellAnchor>
    <xdr:from>
      <xdr:col>16</xdr:col>
      <xdr:colOff>762000</xdr:colOff>
      <xdr:row>19</xdr:row>
      <xdr:rowOff>190500</xdr:rowOff>
    </xdr:from>
    <xdr:to>
      <xdr:col>21</xdr:col>
      <xdr:colOff>508000</xdr:colOff>
      <xdr:row>21</xdr:row>
      <xdr:rowOff>190500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116D675-0121-ED49-AEA7-E22263EEBD0E}"/>
            </a:ext>
          </a:extLst>
        </xdr:cNvPr>
        <xdr:cNvSpPr/>
      </xdr:nvSpPr>
      <xdr:spPr>
        <a:xfrm>
          <a:off x="14109700" y="4051300"/>
          <a:ext cx="32258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Is</a:t>
          </a:r>
          <a:r>
            <a:rPr lang="en-GB" sz="1400" baseline="0"/>
            <a:t> </a:t>
          </a:r>
          <a:r>
            <a:rPr lang="en-GB" sz="1400"/>
            <a:t>gx-hx &lt;=</a:t>
          </a:r>
          <a:r>
            <a:rPr lang="en-GB" sz="1400" baseline="0"/>
            <a:t> (diff + </a:t>
          </a:r>
          <a:r>
            <a:rPr lang="en-GB" sz="1400"/>
            <a:t>delta2)</a:t>
          </a:r>
          <a:r>
            <a:rPr lang="en-GB" sz="1400" baseline="0"/>
            <a:t>*gx</a:t>
          </a:r>
          <a:r>
            <a:rPr lang="en-GB" sz="1400"/>
            <a:t> ?</a:t>
          </a:r>
        </a:p>
      </xdr:txBody>
    </xdr:sp>
    <xdr:clientData/>
  </xdr:twoCellAnchor>
  <xdr:twoCellAnchor>
    <xdr:from>
      <xdr:col>15</xdr:col>
      <xdr:colOff>374650</xdr:colOff>
      <xdr:row>17</xdr:row>
      <xdr:rowOff>12700</xdr:rowOff>
    </xdr:from>
    <xdr:to>
      <xdr:col>17</xdr:col>
      <xdr:colOff>120650</xdr:colOff>
      <xdr:row>19</xdr:row>
      <xdr:rowOff>190500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F1AE487-F621-584B-F6AD-EA9E2EDEAA20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12896850" y="3467100"/>
          <a:ext cx="1397000" cy="584200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120650</xdr:colOff>
      <xdr:row>17</xdr:row>
      <xdr:rowOff>12700</xdr:rowOff>
    </xdr:from>
    <xdr:to>
      <xdr:col>19</xdr:col>
      <xdr:colOff>114300</xdr:colOff>
      <xdr:row>19</xdr:row>
      <xdr:rowOff>190500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3E04102-3024-754C-9EC2-3249A8137C77}"/>
            </a:ext>
          </a:extLst>
        </xdr:cNvPr>
        <xdr:cNvCxnSpPr>
          <a:stCxn id="9" idx="2"/>
          <a:endCxn id="11" idx="0"/>
        </xdr:cNvCxnSpPr>
      </xdr:nvCxnSpPr>
      <xdr:spPr>
        <a:xfrm>
          <a:off x="14293850" y="3467100"/>
          <a:ext cx="1428750" cy="5842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457200</xdr:colOff>
      <xdr:row>24</xdr:row>
      <xdr:rowOff>165100</xdr:rowOff>
    </xdr:from>
    <xdr:to>
      <xdr:col>18</xdr:col>
      <xdr:colOff>254000</xdr:colOff>
      <xdr:row>26</xdr:row>
      <xdr:rowOff>165100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79A751E-3EA6-7B41-95AC-BF6997EF8461}"/>
            </a:ext>
          </a:extLst>
        </xdr:cNvPr>
        <xdr:cNvSpPr/>
      </xdr:nvSpPr>
      <xdr:spPr>
        <a:xfrm>
          <a:off x="10337800" y="5041900"/>
          <a:ext cx="22733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Find</a:t>
          </a:r>
          <a:r>
            <a:rPr lang="en-GB" sz="1400" baseline="0"/>
            <a:t> alternative bound hx_alt</a:t>
          </a:r>
          <a:endParaRPr lang="en-GB" sz="1400"/>
        </a:p>
      </xdr:txBody>
    </xdr:sp>
    <xdr:clientData/>
  </xdr:twoCellAnchor>
  <xdr:twoCellAnchor>
    <xdr:from>
      <xdr:col>16</xdr:col>
      <xdr:colOff>768350</xdr:colOff>
      <xdr:row>21</xdr:row>
      <xdr:rowOff>190500</xdr:rowOff>
    </xdr:from>
    <xdr:to>
      <xdr:col>19</xdr:col>
      <xdr:colOff>107950</xdr:colOff>
      <xdr:row>24</xdr:row>
      <xdr:rowOff>165100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7B5A3B4-7FA2-0744-AD2B-12BF03B5F93D}"/>
            </a:ext>
          </a:extLst>
        </xdr:cNvPr>
        <xdr:cNvCxnSpPr>
          <a:endCxn id="17" idx="0"/>
        </xdr:cNvCxnSpPr>
      </xdr:nvCxnSpPr>
      <xdr:spPr>
        <a:xfrm flipH="1">
          <a:off x="11474450" y="4457700"/>
          <a:ext cx="1600200" cy="584200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152400</xdr:colOff>
      <xdr:row>24</xdr:row>
      <xdr:rowOff>165100</xdr:rowOff>
    </xdr:from>
    <xdr:to>
      <xdr:col>21</xdr:col>
      <xdr:colOff>800100</xdr:colOff>
      <xdr:row>26</xdr:row>
      <xdr:rowOff>165100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0D0D5B8-9E8C-BC4E-80FB-2A13B912C77D}"/>
            </a:ext>
          </a:extLst>
        </xdr:cNvPr>
        <xdr:cNvSpPr/>
      </xdr:nvSpPr>
      <xdr:spPr>
        <a:xfrm>
          <a:off x="15760700" y="5041900"/>
          <a:ext cx="18669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Partition</a:t>
          </a:r>
        </a:p>
      </xdr:txBody>
    </xdr:sp>
    <xdr:clientData/>
  </xdr:twoCellAnchor>
  <xdr:twoCellAnchor>
    <xdr:from>
      <xdr:col>19</xdr:col>
      <xdr:colOff>95250</xdr:colOff>
      <xdr:row>22</xdr:row>
      <xdr:rowOff>0</xdr:rowOff>
    </xdr:from>
    <xdr:to>
      <xdr:col>21</xdr:col>
      <xdr:colOff>304800</xdr:colOff>
      <xdr:row>24</xdr:row>
      <xdr:rowOff>177800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E4FBB9D-8CA7-AC48-BB30-B8C2549A26C8}"/>
            </a:ext>
          </a:extLst>
        </xdr:cNvPr>
        <xdr:cNvCxnSpPr/>
      </xdr:nvCxnSpPr>
      <xdr:spPr>
        <a:xfrm>
          <a:off x="15703550" y="4470400"/>
          <a:ext cx="1428750" cy="5842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19</xdr:row>
      <xdr:rowOff>190500</xdr:rowOff>
    </xdr:from>
    <xdr:to>
      <xdr:col>26</xdr:col>
      <xdr:colOff>749300</xdr:colOff>
      <xdr:row>21</xdr:row>
      <xdr:rowOff>190500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6EE7795-2325-8D40-AD62-1DED7D5F21D6}"/>
            </a:ext>
          </a:extLst>
        </xdr:cNvPr>
        <xdr:cNvSpPr/>
      </xdr:nvSpPr>
      <xdr:spPr>
        <a:xfrm>
          <a:off x="18478500" y="4051300"/>
          <a:ext cx="32258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Is</a:t>
          </a:r>
          <a:r>
            <a:rPr lang="en-GB" sz="1400" baseline="0"/>
            <a:t> </a:t>
          </a:r>
          <a:r>
            <a:rPr lang="en-GB" sz="1400"/>
            <a:t>gx-hx &lt;=</a:t>
          </a:r>
          <a:r>
            <a:rPr lang="en-GB" sz="1400" baseline="0"/>
            <a:t> (mult * </a:t>
          </a:r>
          <a:r>
            <a:rPr lang="en-GB" sz="1400"/>
            <a:t>delta2)</a:t>
          </a:r>
          <a:r>
            <a:rPr lang="en-GB" sz="1400" baseline="0"/>
            <a:t>*gx</a:t>
          </a:r>
          <a:r>
            <a:rPr lang="en-GB" sz="1400"/>
            <a:t> ?</a:t>
          </a:r>
        </a:p>
      </xdr:txBody>
    </xdr:sp>
    <xdr:clientData/>
  </xdr:twoCellAnchor>
  <xdr:twoCellAnchor>
    <xdr:from>
      <xdr:col>14</xdr:col>
      <xdr:colOff>152400</xdr:colOff>
      <xdr:row>34</xdr:row>
      <xdr:rowOff>50800</xdr:rowOff>
    </xdr:from>
    <xdr:to>
      <xdr:col>16</xdr:col>
      <xdr:colOff>368300</xdr:colOff>
      <xdr:row>36</xdr:row>
      <xdr:rowOff>50800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73C6E41-8683-2346-9778-2F74026F3A82}"/>
            </a:ext>
          </a:extLst>
        </xdr:cNvPr>
        <xdr:cNvSpPr/>
      </xdr:nvSpPr>
      <xdr:spPr>
        <a:xfrm>
          <a:off x="9207500" y="6959600"/>
          <a:ext cx="18669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Stop</a:t>
          </a:r>
          <a:r>
            <a:rPr lang="en-GB" sz="1400" baseline="0"/>
            <a:t> (No Partition)</a:t>
          </a:r>
          <a:endParaRPr lang="en-GB" sz="1400"/>
        </a:p>
      </xdr:txBody>
    </xdr:sp>
    <xdr:clientData/>
  </xdr:twoCellAnchor>
  <xdr:twoCellAnchor>
    <xdr:from>
      <xdr:col>15</xdr:col>
      <xdr:colOff>260350</xdr:colOff>
      <xdr:row>31</xdr:row>
      <xdr:rowOff>76200</xdr:rowOff>
    </xdr:from>
    <xdr:to>
      <xdr:col>17</xdr:col>
      <xdr:colOff>6350</xdr:colOff>
      <xdr:row>34</xdr:row>
      <xdr:rowOff>50800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450D920-576B-1142-A1E2-FB9BDDC316F8}"/>
            </a:ext>
          </a:extLst>
        </xdr:cNvPr>
        <xdr:cNvCxnSpPr>
          <a:endCxn id="24" idx="0"/>
        </xdr:cNvCxnSpPr>
      </xdr:nvCxnSpPr>
      <xdr:spPr>
        <a:xfrm flipH="1">
          <a:off x="10140950" y="6375400"/>
          <a:ext cx="1397000" cy="584200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50800</xdr:colOff>
      <xdr:row>34</xdr:row>
      <xdr:rowOff>50800</xdr:rowOff>
    </xdr:from>
    <xdr:to>
      <xdr:col>20</xdr:col>
      <xdr:colOff>88900</xdr:colOff>
      <xdr:row>36</xdr:row>
      <xdr:rowOff>50800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418A08E-E4AA-FC43-9688-022C75A480A8}"/>
            </a:ext>
          </a:extLst>
        </xdr:cNvPr>
        <xdr:cNvSpPr/>
      </xdr:nvSpPr>
      <xdr:spPr>
        <a:xfrm>
          <a:off x="11582400" y="6959600"/>
          <a:ext cx="18669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Partition</a:t>
          </a:r>
        </a:p>
      </xdr:txBody>
    </xdr:sp>
    <xdr:clientData/>
  </xdr:twoCellAnchor>
  <xdr:twoCellAnchor>
    <xdr:from>
      <xdr:col>17</xdr:col>
      <xdr:colOff>19050</xdr:colOff>
      <xdr:row>31</xdr:row>
      <xdr:rowOff>76200</xdr:rowOff>
    </xdr:from>
    <xdr:to>
      <xdr:col>19</xdr:col>
      <xdr:colOff>12700</xdr:colOff>
      <xdr:row>34</xdr:row>
      <xdr:rowOff>50800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0B72CC6-7E18-AB45-BB94-D39D85215B01}"/>
            </a:ext>
          </a:extLst>
        </xdr:cNvPr>
        <xdr:cNvCxnSpPr/>
      </xdr:nvCxnSpPr>
      <xdr:spPr>
        <a:xfrm>
          <a:off x="11550650" y="6375400"/>
          <a:ext cx="1428750" cy="5842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88900</xdr:colOff>
      <xdr:row>29</xdr:row>
      <xdr:rowOff>76200</xdr:rowOff>
    </xdr:from>
    <xdr:to>
      <xdr:col>19</xdr:col>
      <xdr:colOff>228600</xdr:colOff>
      <xdr:row>31</xdr:row>
      <xdr:rowOff>76200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C49B8E4-556F-3D45-BC1D-D8BBB2EE085D}"/>
            </a:ext>
          </a:extLst>
        </xdr:cNvPr>
        <xdr:cNvSpPr/>
      </xdr:nvSpPr>
      <xdr:spPr>
        <a:xfrm>
          <a:off x="9969500" y="5969000"/>
          <a:ext cx="3225800" cy="406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/>
            <a:t>Is gx - hx_alt &lt;= delta2/2*gx</a:t>
          </a:r>
        </a:p>
      </xdr:txBody>
    </xdr:sp>
    <xdr:clientData/>
  </xdr:twoCellAnchor>
  <xdr:twoCellAnchor>
    <xdr:from>
      <xdr:col>16</xdr:col>
      <xdr:colOff>768350</xdr:colOff>
      <xdr:row>26</xdr:row>
      <xdr:rowOff>165100</xdr:rowOff>
    </xdr:from>
    <xdr:to>
      <xdr:col>17</xdr:col>
      <xdr:colOff>50800</xdr:colOff>
      <xdr:row>29</xdr:row>
      <xdr:rowOff>76200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76AEF16-7CDF-814B-A56E-ED851D903205}"/>
            </a:ext>
          </a:extLst>
        </xdr:cNvPr>
        <xdr:cNvCxnSpPr>
          <a:stCxn id="17" idx="2"/>
          <a:endCxn id="28" idx="0"/>
        </xdr:cNvCxnSpPr>
      </xdr:nvCxnSpPr>
      <xdr:spPr>
        <a:xfrm>
          <a:off x="11474450" y="5448300"/>
          <a:ext cx="1079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579B-0F9B-BA4C-85AB-B52387FE677D}">
  <dimension ref="A1:X33"/>
  <sheetViews>
    <sheetView tabSelected="1" workbookViewId="0">
      <selection activeCell="F34" sqref="F34"/>
    </sheetView>
  </sheetViews>
  <sheetFormatPr baseColWidth="10" defaultRowHeight="16" x14ac:dyDescent="0.2"/>
  <cols>
    <col min="1" max="1" width="4.5" bestFit="1" customWidth="1"/>
    <col min="2" max="2" width="11.1640625" style="1" bestFit="1" customWidth="1"/>
    <col min="3" max="3" width="8.1640625" style="1" bestFit="1" customWidth="1"/>
    <col min="4" max="4" width="6.6640625" style="22" bestFit="1" customWidth="1"/>
    <col min="5" max="5" width="6.6640625" style="33" hidden="1" customWidth="1"/>
    <col min="6" max="6" width="9.1640625" style="23" bestFit="1" customWidth="1"/>
    <col min="7" max="7" width="11.1640625" style="1" bestFit="1" customWidth="1"/>
    <col min="8" max="8" width="8.1640625" style="1" bestFit="1" customWidth="1"/>
    <col min="9" max="9" width="6.6640625" style="22" bestFit="1" customWidth="1"/>
    <col min="10" max="10" width="9.1640625" style="23" bestFit="1" customWidth="1"/>
    <col min="11" max="11" width="11.33203125" style="1" customWidth="1"/>
    <col min="12" max="12" width="10.83203125" style="1" customWidth="1"/>
    <col min="13" max="13" width="10.33203125" style="5" bestFit="1" customWidth="1"/>
    <col min="14" max="14" width="11.5" style="1" bestFit="1" customWidth="1"/>
    <col min="19" max="19" width="8" customWidth="1"/>
    <col min="20" max="20" width="5.1640625" customWidth="1"/>
  </cols>
  <sheetData>
    <row r="1" spans="1:21" x14ac:dyDescent="0.2">
      <c r="A1" t="s">
        <v>13</v>
      </c>
      <c r="B1" s="3" t="s">
        <v>11</v>
      </c>
      <c r="C1" s="3"/>
      <c r="D1" s="3"/>
      <c r="E1" s="3"/>
      <c r="F1" s="3"/>
      <c r="G1" s="4" t="s">
        <v>12</v>
      </c>
      <c r="H1" s="4"/>
      <c r="I1" s="4"/>
      <c r="J1" s="4"/>
    </row>
    <row r="2" spans="1:21" x14ac:dyDescent="0.2">
      <c r="B2" s="6" t="s">
        <v>0</v>
      </c>
      <c r="C2" s="6" t="s">
        <v>1</v>
      </c>
      <c r="D2" s="28" t="s">
        <v>2</v>
      </c>
      <c r="E2" s="29" t="s">
        <v>3</v>
      </c>
      <c r="F2" s="30" t="s">
        <v>4</v>
      </c>
      <c r="G2" s="7" t="s">
        <v>5</v>
      </c>
      <c r="H2" s="7" t="s">
        <v>6</v>
      </c>
      <c r="I2" s="18" t="s">
        <v>7</v>
      </c>
      <c r="J2" s="19" t="s">
        <v>8</v>
      </c>
      <c r="K2" s="1" t="s">
        <v>9</v>
      </c>
      <c r="L2" s="1" t="s">
        <v>10</v>
      </c>
      <c r="M2" s="8" t="s">
        <v>14</v>
      </c>
      <c r="N2" s="1" t="s">
        <v>18</v>
      </c>
    </row>
    <row r="3" spans="1:21" x14ac:dyDescent="0.2">
      <c r="A3">
        <v>0</v>
      </c>
      <c r="B3" s="9">
        <v>1866.30008292198</v>
      </c>
      <c r="C3" s="9">
        <v>204.78699380159301</v>
      </c>
      <c r="D3" s="31">
        <v>203.26981782913199</v>
      </c>
      <c r="E3" s="29">
        <v>4</v>
      </c>
      <c r="F3" s="32">
        <v>0.74085562969471297</v>
      </c>
      <c r="G3" s="10">
        <v>1312.1802148818899</v>
      </c>
      <c r="H3" s="10">
        <v>204.752498269081</v>
      </c>
      <c r="I3" s="20">
        <v>203.16587829589801</v>
      </c>
      <c r="J3" s="21">
        <v>0.77489651486331401</v>
      </c>
      <c r="K3" s="1">
        <v>-5.0763499401627603E-2</v>
      </c>
      <c r="L3" s="1">
        <v>-554.11986804008404</v>
      </c>
      <c r="M3" s="1">
        <f>J3-F3</f>
        <v>3.4040885168601043E-2</v>
      </c>
      <c r="N3" s="1">
        <f>J3/F3</f>
        <v>1.045948068428161</v>
      </c>
      <c r="U3" t="s">
        <v>15</v>
      </c>
    </row>
    <row r="4" spans="1:21" x14ac:dyDescent="0.2">
      <c r="A4">
        <v>1</v>
      </c>
      <c r="B4" s="9">
        <v>578.25364470481804</v>
      </c>
      <c r="C4" s="9">
        <v>242.126564264297</v>
      </c>
      <c r="D4" s="31">
        <v>239.819353580474</v>
      </c>
      <c r="E4" s="29">
        <v>83</v>
      </c>
      <c r="F4" s="32">
        <v>0.95289448757227402</v>
      </c>
      <c r="G4" s="7">
        <v>323.07984304428101</v>
      </c>
      <c r="H4" s="10">
        <v>242.09289824962599</v>
      </c>
      <c r="I4" s="20">
        <v>240.49484598636599</v>
      </c>
      <c r="J4" s="21">
        <v>0.66009877811950801</v>
      </c>
      <c r="K4" s="11">
        <v>0.27902198320369798</v>
      </c>
      <c r="L4" s="1">
        <v>-255.17380166053701</v>
      </c>
      <c r="M4" s="1">
        <f t="shared" ref="M4:M10" si="0">J4-F4</f>
        <v>-0.29279570945276601</v>
      </c>
      <c r="N4" s="1">
        <f t="shared" ref="N4:N10" si="1">J4/F4</f>
        <v>0.69273018862903391</v>
      </c>
    </row>
    <row r="5" spans="1:21" x14ac:dyDescent="0.2">
      <c r="A5">
        <v>2</v>
      </c>
      <c r="B5" s="9">
        <v>3.08135509490966</v>
      </c>
      <c r="C5" s="6">
        <v>215</v>
      </c>
      <c r="D5" s="28">
        <v>215</v>
      </c>
      <c r="E5" s="29">
        <v>89</v>
      </c>
      <c r="F5" s="30">
        <v>0</v>
      </c>
      <c r="G5" s="10">
        <v>2.45703077316284</v>
      </c>
      <c r="H5" s="7">
        <v>215</v>
      </c>
      <c r="I5" s="18">
        <v>215</v>
      </c>
      <c r="J5" s="19">
        <v>0</v>
      </c>
      <c r="K5" s="1">
        <v>0</v>
      </c>
      <c r="L5" s="1">
        <v>-0.62432432174682595</v>
      </c>
      <c r="M5" s="1">
        <f t="shared" si="0"/>
        <v>0</v>
      </c>
      <c r="N5" s="1" t="e">
        <f t="shared" si="1"/>
        <v>#DIV/0!</v>
      </c>
    </row>
    <row r="6" spans="1:21" x14ac:dyDescent="0.2">
      <c r="A6">
        <v>3</v>
      </c>
      <c r="B6" s="6">
        <v>303.57116389274597</v>
      </c>
      <c r="C6" s="9">
        <v>445.197364807128</v>
      </c>
      <c r="D6" s="31">
        <v>442.167253971099</v>
      </c>
      <c r="E6" s="29">
        <v>166</v>
      </c>
      <c r="F6" s="32">
        <v>0.68062191638123803</v>
      </c>
      <c r="G6" s="10">
        <v>680.23108792304902</v>
      </c>
      <c r="H6" s="10">
        <v>445.17190891504202</v>
      </c>
      <c r="I6" s="20">
        <v>441.39550894498802</v>
      </c>
      <c r="J6" s="21">
        <v>0.84830149756266804</v>
      </c>
      <c r="K6" s="1">
        <v>-0.17335887792032301</v>
      </c>
      <c r="L6" s="11">
        <v>376.65992403030299</v>
      </c>
      <c r="M6" s="1">
        <f t="shared" si="0"/>
        <v>0.16767958118143</v>
      </c>
      <c r="N6" s="1">
        <f t="shared" si="1"/>
        <v>1.2463623006337448</v>
      </c>
    </row>
    <row r="7" spans="1:21" x14ac:dyDescent="0.2">
      <c r="A7">
        <v>4</v>
      </c>
      <c r="B7" s="9">
        <v>419.27618527412397</v>
      </c>
      <c r="C7" s="9">
        <v>292.728906154632</v>
      </c>
      <c r="D7" s="31">
        <v>290.28640580177301</v>
      </c>
      <c r="E7" s="29">
        <v>172</v>
      </c>
      <c r="F7" s="32">
        <v>0.83438987455829094</v>
      </c>
      <c r="G7" s="10">
        <v>568.16681289672795</v>
      </c>
      <c r="H7" s="10">
        <v>292.71801823377598</v>
      </c>
      <c r="I7" s="20">
        <v>290.14877742528898</v>
      </c>
      <c r="J7" s="21">
        <v>0.877718708260398</v>
      </c>
      <c r="K7" s="1">
        <v>-4.70173914521387E-2</v>
      </c>
      <c r="L7" s="11">
        <v>148.890627622604</v>
      </c>
      <c r="M7" s="1">
        <f t="shared" si="0"/>
        <v>4.332883370210705E-2</v>
      </c>
      <c r="N7" s="1">
        <f t="shared" si="1"/>
        <v>1.0519287625884057</v>
      </c>
    </row>
    <row r="8" spans="1:21" x14ac:dyDescent="0.2">
      <c r="A8">
        <v>5</v>
      </c>
      <c r="B8" s="9">
        <v>1506.4331870079</v>
      </c>
      <c r="C8" s="9">
        <v>285.600462764501</v>
      </c>
      <c r="D8" s="31">
        <v>282.91153159737502</v>
      </c>
      <c r="E8" s="29">
        <v>174</v>
      </c>
      <c r="F8" s="32">
        <v>0.94150098396126203</v>
      </c>
      <c r="G8" s="7">
        <v>1176.21404504776</v>
      </c>
      <c r="H8" s="10">
        <v>285.49630244076201</v>
      </c>
      <c r="I8" s="20">
        <v>283.10082216560801</v>
      </c>
      <c r="J8" s="21">
        <v>0.83905824862693201</v>
      </c>
      <c r="K8" s="1">
        <v>6.6302283642294096E-2</v>
      </c>
      <c r="L8" s="1">
        <v>-330.21914196014399</v>
      </c>
      <c r="M8" s="1">
        <f t="shared" si="0"/>
        <v>-0.10244273533433002</v>
      </c>
      <c r="N8" s="1">
        <f t="shared" si="1"/>
        <v>0.89119211017357258</v>
      </c>
    </row>
    <row r="9" spans="1:21" x14ac:dyDescent="0.2">
      <c r="A9">
        <v>6</v>
      </c>
      <c r="B9" s="9">
        <v>136.70628309249801</v>
      </c>
      <c r="C9" s="9">
        <v>299.79590320587101</v>
      </c>
      <c r="D9" s="31">
        <v>297.41865730285599</v>
      </c>
      <c r="E9" s="29">
        <v>200</v>
      </c>
      <c r="F9" s="32">
        <v>0.79295476609053805</v>
      </c>
      <c r="G9" s="10">
        <v>519.36940217018105</v>
      </c>
      <c r="H9" s="10">
        <v>299.78421103954298</v>
      </c>
      <c r="I9" s="20">
        <v>297.38420343399002</v>
      </c>
      <c r="J9" s="21">
        <v>0.80057838844491302</v>
      </c>
      <c r="K9" s="1">
        <v>-1.14928897510957E-2</v>
      </c>
      <c r="L9" s="11">
        <v>382.66311907768198</v>
      </c>
      <c r="M9" s="1">
        <f t="shared" si="0"/>
        <v>7.6236223543749704E-3</v>
      </c>
      <c r="N9" s="1">
        <f t="shared" si="1"/>
        <v>1.0096141957654927</v>
      </c>
    </row>
    <row r="10" spans="1:21" x14ac:dyDescent="0.2">
      <c r="A10">
        <v>7</v>
      </c>
      <c r="B10" s="6">
        <v>763.8505859375</v>
      </c>
      <c r="C10" s="9">
        <v>213.56977331638299</v>
      </c>
      <c r="D10" s="31">
        <v>211.90602710843001</v>
      </c>
      <c r="E10" s="29">
        <v>241</v>
      </c>
      <c r="F10" s="32">
        <v>0.77901764005142604</v>
      </c>
      <c r="G10" s="10">
        <v>352.63758301734902</v>
      </c>
      <c r="H10" s="10">
        <v>213.52652144432</v>
      </c>
      <c r="I10" s="20">
        <v>211.52562236785801</v>
      </c>
      <c r="J10" s="21">
        <v>0.93707285770753601</v>
      </c>
      <c r="K10" s="1">
        <v>-0.178153391906025</v>
      </c>
      <c r="L10" s="1">
        <v>-411.21300292015002</v>
      </c>
      <c r="M10" s="1">
        <f t="shared" si="0"/>
        <v>0.15805521765610997</v>
      </c>
      <c r="N10" s="1">
        <f t="shared" si="1"/>
        <v>1.2028904218981178</v>
      </c>
    </row>
    <row r="11" spans="1:21" x14ac:dyDescent="0.2">
      <c r="K11" s="12">
        <f>AVERAGE(K3:K10)</f>
        <v>-1.4432722948152244E-2</v>
      </c>
      <c r="L11" s="12"/>
      <c r="M11" s="12">
        <f>AVERAGE(M3:M10)</f>
        <v>1.936211909440877E-3</v>
      </c>
    </row>
    <row r="12" spans="1:21" x14ac:dyDescent="0.2">
      <c r="A12" s="2" t="s">
        <v>19</v>
      </c>
      <c r="B12" s="13" t="s">
        <v>0</v>
      </c>
      <c r="C12" s="13" t="s">
        <v>1</v>
      </c>
      <c r="D12" s="34" t="s">
        <v>2</v>
      </c>
      <c r="E12" s="35" t="s">
        <v>3</v>
      </c>
      <c r="F12" s="36" t="s">
        <v>4</v>
      </c>
      <c r="G12" s="14" t="s">
        <v>5</v>
      </c>
      <c r="H12" s="14" t="s">
        <v>6</v>
      </c>
      <c r="I12" s="24" t="s">
        <v>7</v>
      </c>
      <c r="J12" s="25" t="s">
        <v>8</v>
      </c>
      <c r="K12" s="15" t="s">
        <v>9</v>
      </c>
      <c r="L12" s="15" t="s">
        <v>10</v>
      </c>
      <c r="M12" s="8" t="s">
        <v>14</v>
      </c>
    </row>
    <row r="13" spans="1:21" x14ac:dyDescent="0.2">
      <c r="A13" s="2">
        <v>0</v>
      </c>
      <c r="B13" s="13">
        <v>211.718425035476</v>
      </c>
      <c r="C13" s="13">
        <v>276.85049629211397</v>
      </c>
      <c r="D13" s="34">
        <v>274.26023101806601</v>
      </c>
      <c r="E13" s="35">
        <v>18</v>
      </c>
      <c r="F13" s="36">
        <v>0.93561879380370505</v>
      </c>
      <c r="G13" s="14">
        <v>416.940552949905</v>
      </c>
      <c r="H13" s="14">
        <v>276.79723131656601</v>
      </c>
      <c r="I13" s="24">
        <v>275.01407277584002</v>
      </c>
      <c r="J13" s="25">
        <v>0.64421111881944704</v>
      </c>
      <c r="K13" s="15">
        <v>0.27234439961294299</v>
      </c>
      <c r="L13" s="15">
        <v>205.222127914428</v>
      </c>
      <c r="M13" s="1">
        <f>J13-F13</f>
        <v>-0.29140767498425801</v>
      </c>
      <c r="N13" s="1">
        <f t="shared" ref="N13:N21" si="2">J13/F13</f>
        <v>0.68854016516752869</v>
      </c>
    </row>
    <row r="14" spans="1:21" x14ac:dyDescent="0.2">
      <c r="A14" s="2">
        <v>1</v>
      </c>
      <c r="B14" s="13">
        <v>3528.8627939224202</v>
      </c>
      <c r="C14" s="13">
        <v>279.07911339029602</v>
      </c>
      <c r="D14" s="34">
        <v>276.79139228537599</v>
      </c>
      <c r="E14" s="35">
        <v>26</v>
      </c>
      <c r="F14" s="36">
        <v>0.81973927648268496</v>
      </c>
      <c r="G14" s="14">
        <v>1370.66040897369</v>
      </c>
      <c r="H14" s="14">
        <v>278.92014020681302</v>
      </c>
      <c r="I14" s="24">
        <v>276.49459326267203</v>
      </c>
      <c r="J14" s="25">
        <v>0.86962057999999998</v>
      </c>
      <c r="K14" s="15">
        <v>-0.10641</v>
      </c>
      <c r="L14" s="15">
        <v>-2158.2024000000001</v>
      </c>
      <c r="M14" s="1">
        <f t="shared" ref="M14:M21" si="3">J14-F14</f>
        <v>4.9881303517315012E-2</v>
      </c>
      <c r="N14" s="1">
        <f t="shared" si="2"/>
        <v>1.0608502056060365</v>
      </c>
    </row>
    <row r="15" spans="1:21" x14ac:dyDescent="0.2">
      <c r="A15" s="2">
        <v>2</v>
      </c>
      <c r="B15" s="13">
        <v>343.001271963119</v>
      </c>
      <c r="C15" s="13">
        <v>316.26347231864901</v>
      </c>
      <c r="D15" s="34">
        <v>313.32362234592398</v>
      </c>
      <c r="E15" s="35">
        <v>30</v>
      </c>
      <c r="F15" s="36">
        <v>0.92955722998035195</v>
      </c>
      <c r="G15" s="14">
        <v>173.79819107055599</v>
      </c>
      <c r="H15" s="14">
        <v>315.67190098762501</v>
      </c>
      <c r="I15" s="24">
        <v>313.033470392227</v>
      </c>
      <c r="J15" s="25">
        <v>0.83581420682146101</v>
      </c>
      <c r="K15" s="15">
        <v>-9.1915700000000003E-2</v>
      </c>
      <c r="L15" s="15">
        <v>-169.20308</v>
      </c>
      <c r="M15" s="1">
        <f t="shared" si="3"/>
        <v>-9.3743023158890937E-2</v>
      </c>
      <c r="N15" s="1">
        <f t="shared" si="2"/>
        <v>0.89915303745109665</v>
      </c>
    </row>
    <row r="16" spans="1:21" x14ac:dyDescent="0.2">
      <c r="A16" s="2">
        <v>3</v>
      </c>
      <c r="B16" s="13">
        <v>1535.4876182079299</v>
      </c>
      <c r="C16" s="13">
        <v>171.29759466648099</v>
      </c>
      <c r="D16" s="34">
        <v>169.63908928632699</v>
      </c>
      <c r="E16" s="35">
        <v>46</v>
      </c>
      <c r="F16" s="36">
        <v>0.96820121000000003</v>
      </c>
      <c r="G16" s="14">
        <v>334.51691961288401</v>
      </c>
      <c r="H16" s="14">
        <v>171.284920692443</v>
      </c>
      <c r="I16" s="24">
        <v>169.89946937561001</v>
      </c>
      <c r="J16" s="25">
        <v>0.80885772736596395</v>
      </c>
      <c r="K16" s="15">
        <v>0.15201576894823199</v>
      </c>
      <c r="L16" s="15">
        <v>-1200.9707000000001</v>
      </c>
      <c r="M16" s="1">
        <f t="shared" si="3"/>
        <v>-0.15934348263403608</v>
      </c>
      <c r="N16" s="1">
        <f t="shared" si="2"/>
        <v>0.8354231734186367</v>
      </c>
    </row>
    <row r="17" spans="1:24" x14ac:dyDescent="0.2">
      <c r="A17" s="2">
        <v>4</v>
      </c>
      <c r="B17" s="13">
        <v>1699.9606189727699</v>
      </c>
      <c r="C17" s="13">
        <v>211.243663787841</v>
      </c>
      <c r="D17" s="34">
        <v>209.30010759830401</v>
      </c>
      <c r="E17" s="35">
        <v>73</v>
      </c>
      <c r="F17" s="36">
        <v>0.92005419461433802</v>
      </c>
      <c r="G17" s="14">
        <v>794.63411299999996</v>
      </c>
      <c r="H17" s="14">
        <v>211.225076317787</v>
      </c>
      <c r="I17" s="24">
        <v>209.64001369476301</v>
      </c>
      <c r="J17" s="25">
        <v>0.75041403731782197</v>
      </c>
      <c r="K17" s="15">
        <v>0.16092127998433101</v>
      </c>
      <c r="L17" s="15">
        <v>-905.32650999999998</v>
      </c>
      <c r="M17" s="1">
        <f t="shared" si="3"/>
        <v>-0.16964015729651605</v>
      </c>
      <c r="N17" s="1">
        <f t="shared" si="2"/>
        <v>0.81561938602146733</v>
      </c>
    </row>
    <row r="18" spans="1:24" x14ac:dyDescent="0.2">
      <c r="A18" s="2">
        <v>5</v>
      </c>
      <c r="B18" s="13">
        <v>118.294329643249</v>
      </c>
      <c r="C18" s="13">
        <v>189</v>
      </c>
      <c r="D18" s="34">
        <v>187.90966800000001</v>
      </c>
      <c r="E18" s="35">
        <v>93</v>
      </c>
      <c r="F18" s="36">
        <v>0.57689525462962898</v>
      </c>
      <c r="G18" s="14">
        <v>790.51160693168595</v>
      </c>
      <c r="H18" s="14">
        <v>189</v>
      </c>
      <c r="I18" s="24">
        <v>188.47863769531199</v>
      </c>
      <c r="J18" s="25">
        <v>0.275853071263227</v>
      </c>
      <c r="K18" s="15">
        <v>0.30104218336640198</v>
      </c>
      <c r="L18" s="15">
        <v>672.21727728843598</v>
      </c>
      <c r="M18" s="1">
        <f t="shared" si="3"/>
        <v>-0.30104218336640198</v>
      </c>
      <c r="N18" s="1">
        <f t="shared" si="2"/>
        <v>0.47816838334079675</v>
      </c>
      <c r="T18" s="40" t="s">
        <v>21</v>
      </c>
      <c r="X18" s="40" t="s">
        <v>22</v>
      </c>
    </row>
    <row r="19" spans="1:24" x14ac:dyDescent="0.2">
      <c r="A19" s="2">
        <v>6</v>
      </c>
      <c r="B19" s="13">
        <v>1455.9307448863899</v>
      </c>
      <c r="C19" s="13">
        <v>171.674532890319</v>
      </c>
      <c r="D19" s="34">
        <v>170.229914665222</v>
      </c>
      <c r="E19" s="35">
        <v>98</v>
      </c>
      <c r="F19" s="36">
        <v>0.84148662051150003</v>
      </c>
      <c r="G19" s="14">
        <v>1080.80073499679</v>
      </c>
      <c r="H19" s="14">
        <v>171.671730041503</v>
      </c>
      <c r="I19" s="24">
        <v>170.17063879966699</v>
      </c>
      <c r="J19" s="25">
        <v>0.874396291965857</v>
      </c>
      <c r="K19" s="15">
        <v>-3.45286E-2</v>
      </c>
      <c r="L19" s="15">
        <v>-375.13001000000003</v>
      </c>
      <c r="M19" s="1">
        <f t="shared" si="3"/>
        <v>3.290967145435697E-2</v>
      </c>
      <c r="N19" s="1">
        <f t="shared" si="2"/>
        <v>1.0391089657900356</v>
      </c>
      <c r="T19" t="s">
        <v>16</v>
      </c>
      <c r="X19" t="s">
        <v>17</v>
      </c>
    </row>
    <row r="20" spans="1:24" x14ac:dyDescent="0.2">
      <c r="A20" s="2">
        <v>7</v>
      </c>
      <c r="B20" s="13">
        <v>1119.98706912994</v>
      </c>
      <c r="C20" s="13">
        <v>245.12115399999999</v>
      </c>
      <c r="D20" s="34">
        <v>243.19080305099399</v>
      </c>
      <c r="E20" s="35">
        <v>110</v>
      </c>
      <c r="F20" s="36">
        <v>0.78750877796879004</v>
      </c>
      <c r="G20" s="14">
        <v>701.23761391639698</v>
      </c>
      <c r="H20" s="14">
        <v>245.08955037593799</v>
      </c>
      <c r="I20" s="24">
        <v>243.356700181961</v>
      </c>
      <c r="J20" s="25">
        <v>0.70702737000000004</v>
      </c>
      <c r="K20" s="15">
        <v>6.7688369999999998E-2</v>
      </c>
      <c r="L20" s="15">
        <v>-418.74946</v>
      </c>
      <c r="M20" s="1">
        <f t="shared" si="3"/>
        <v>-8.0481407968789997E-2</v>
      </c>
      <c r="N20" s="1">
        <f t="shared" si="2"/>
        <v>0.89780252586342657</v>
      </c>
    </row>
    <row r="21" spans="1:24" x14ac:dyDescent="0.2">
      <c r="A21" s="2">
        <v>8</v>
      </c>
      <c r="B21" s="13">
        <v>3055.3468222618098</v>
      </c>
      <c r="C21" s="13">
        <v>152.99983488023199</v>
      </c>
      <c r="D21" s="34">
        <v>151.72006165981199</v>
      </c>
      <c r="E21" s="35">
        <v>122</v>
      </c>
      <c r="F21" s="36">
        <v>0.83645398999999998</v>
      </c>
      <c r="G21" s="14">
        <v>1109.81243371963</v>
      </c>
      <c r="H21" s="14">
        <v>152.989127159118</v>
      </c>
      <c r="I21" s="24">
        <v>151.83431041240601</v>
      </c>
      <c r="J21" s="25">
        <v>0.75483582928782</v>
      </c>
      <c r="K21" s="15">
        <v>7.4677690000000005E-2</v>
      </c>
      <c r="L21" s="15">
        <v>-1945.5344</v>
      </c>
      <c r="M21" s="1">
        <f t="shared" si="3"/>
        <v>-8.1618160712179977E-2</v>
      </c>
      <c r="N21" s="1">
        <f t="shared" si="2"/>
        <v>0.90242361003959104</v>
      </c>
    </row>
    <row r="22" spans="1:24" x14ac:dyDescent="0.2">
      <c r="K22" s="12">
        <f>AVERAGE(K13:K21)</f>
        <v>8.8426154656878669E-2</v>
      </c>
      <c r="L22" s="12"/>
      <c r="M22" s="12">
        <f>AVERAGE(M13:M21)</f>
        <v>-0.12160945723882234</v>
      </c>
    </row>
    <row r="23" spans="1:24" x14ac:dyDescent="0.2">
      <c r="A23" t="s">
        <v>20</v>
      </c>
      <c r="B23" s="5" t="s">
        <v>0</v>
      </c>
      <c r="C23" s="5" t="s">
        <v>1</v>
      </c>
      <c r="D23" s="37" t="s">
        <v>2</v>
      </c>
      <c r="E23" s="38" t="s">
        <v>3</v>
      </c>
      <c r="F23" s="39" t="s">
        <v>4</v>
      </c>
      <c r="G23" s="16" t="s">
        <v>5</v>
      </c>
      <c r="H23" s="16" t="s">
        <v>6</v>
      </c>
      <c r="I23" s="26" t="s">
        <v>7</v>
      </c>
      <c r="J23" s="27" t="s">
        <v>8</v>
      </c>
      <c r="K23" s="5" t="s">
        <v>9</v>
      </c>
      <c r="L23" s="5" t="s">
        <v>10</v>
      </c>
      <c r="M23" s="8" t="s">
        <v>14</v>
      </c>
    </row>
    <row r="24" spans="1:24" x14ac:dyDescent="0.2">
      <c r="A24">
        <v>0</v>
      </c>
      <c r="B24" s="9">
        <v>1278.1497609615301</v>
      </c>
      <c r="C24" s="9">
        <v>276.22747421264597</v>
      </c>
      <c r="D24" s="31">
        <v>273.447227478027</v>
      </c>
      <c r="E24" s="29">
        <v>4</v>
      </c>
      <c r="F24" s="32">
        <v>1.00650622916634</v>
      </c>
      <c r="G24" s="10">
        <v>961.57866215705803</v>
      </c>
      <c r="H24" s="10">
        <v>276.115460634231</v>
      </c>
      <c r="I24" s="20">
        <v>274.22049105167298</v>
      </c>
      <c r="J24" s="21">
        <v>0.68629607998225495</v>
      </c>
      <c r="K24" s="11">
        <v>0.28005080623532402</v>
      </c>
      <c r="L24" s="1">
        <v>-316.57109880447302</v>
      </c>
      <c r="M24" s="1">
        <f t="shared" ref="M24:M31" si="4">J24-F24</f>
        <v>-0.32021014918408508</v>
      </c>
      <c r="N24" s="1">
        <f t="shared" ref="N24:N31" si="5">J24/F24</f>
        <v>0.68185974422701201</v>
      </c>
    </row>
    <row r="25" spans="1:24" x14ac:dyDescent="0.2">
      <c r="A25">
        <v>1</v>
      </c>
      <c r="B25" s="9">
        <v>2841.2781989574401</v>
      </c>
      <c r="C25" s="9">
        <v>220.76380072533999</v>
      </c>
      <c r="D25" s="31">
        <v>218.64833088964201</v>
      </c>
      <c r="E25" s="29">
        <v>8</v>
      </c>
      <c r="F25" s="32">
        <v>0.95825032398790999</v>
      </c>
      <c r="G25" s="7">
        <v>928.69444704055798</v>
      </c>
      <c r="H25" s="10">
        <v>220.67523384094201</v>
      </c>
      <c r="I25" s="20">
        <v>218.581265926361</v>
      </c>
      <c r="J25" s="21">
        <v>0.94889121816479405</v>
      </c>
      <c r="K25" s="1">
        <v>-3.0390797423825701E-2</v>
      </c>
      <c r="L25" s="1">
        <v>-1912.5837519168799</v>
      </c>
      <c r="M25" s="1">
        <f t="shared" si="4"/>
        <v>-9.359105823115943E-3</v>
      </c>
      <c r="N25" s="1">
        <f t="shared" si="5"/>
        <v>0.99023313054133233</v>
      </c>
    </row>
    <row r="26" spans="1:24" x14ac:dyDescent="0.2">
      <c r="A26">
        <v>2</v>
      </c>
      <c r="B26" s="9">
        <v>259.05382919311501</v>
      </c>
      <c r="C26" s="9">
        <v>332.39815568923899</v>
      </c>
      <c r="D26" s="31">
        <v>329.64443278312598</v>
      </c>
      <c r="E26" s="29">
        <v>16</v>
      </c>
      <c r="F26" s="32">
        <v>0.82844109059592297</v>
      </c>
      <c r="G26" s="10">
        <v>359.84982013702302</v>
      </c>
      <c r="H26" s="10">
        <v>332.325657844543</v>
      </c>
      <c r="I26" s="18">
        <v>329.46057438850403</v>
      </c>
      <c r="J26" s="21">
        <v>0.8621312824963</v>
      </c>
      <c r="K26" s="1">
        <v>-5.5324766620580501E-2</v>
      </c>
      <c r="L26" s="11">
        <v>100.795990943908</v>
      </c>
      <c r="M26" s="1">
        <f t="shared" si="4"/>
        <v>3.3690191900377031E-2</v>
      </c>
      <c r="N26" s="1">
        <f t="shared" si="5"/>
        <v>1.0406669735275234</v>
      </c>
    </row>
    <row r="27" spans="1:24" x14ac:dyDescent="0.2">
      <c r="A27">
        <v>3</v>
      </c>
      <c r="B27" s="9">
        <v>120.398621082305</v>
      </c>
      <c r="C27" s="9">
        <v>352.561866760253</v>
      </c>
      <c r="D27" s="31">
        <v>349.88942718505803</v>
      </c>
      <c r="E27" s="29">
        <v>20</v>
      </c>
      <c r="F27" s="32">
        <v>0.75800585008037802</v>
      </c>
      <c r="G27" s="10">
        <v>175.70808887481601</v>
      </c>
      <c r="H27" s="10">
        <v>352.43227624893098</v>
      </c>
      <c r="I27" s="18">
        <v>349.63008785247803</v>
      </c>
      <c r="J27" s="21">
        <v>0.79509982067436902</v>
      </c>
      <c r="K27" s="1">
        <v>-7.3585579431263107E-2</v>
      </c>
      <c r="L27" s="11">
        <v>55.309467792510901</v>
      </c>
      <c r="M27" s="1">
        <f t="shared" si="4"/>
        <v>3.7093970593990999E-2</v>
      </c>
      <c r="N27" s="1">
        <f t="shared" si="5"/>
        <v>1.0489362589880509</v>
      </c>
    </row>
    <row r="28" spans="1:24" x14ac:dyDescent="0.2">
      <c r="A28">
        <v>4</v>
      </c>
      <c r="B28" s="9">
        <v>375.52393507957402</v>
      </c>
      <c r="C28" s="9">
        <v>279.65752410888598</v>
      </c>
      <c r="D28" s="31">
        <v>277.63895034789999</v>
      </c>
      <c r="E28" s="29">
        <v>28</v>
      </c>
      <c r="F28" s="32">
        <v>0.72180205679013998</v>
      </c>
      <c r="G28" s="10">
        <v>214.24181604385299</v>
      </c>
      <c r="H28" s="10">
        <v>279.58591222762999</v>
      </c>
      <c r="I28" s="20">
        <v>277.42100715637201</v>
      </c>
      <c r="J28" s="21">
        <v>0.77432552091394302</v>
      </c>
      <c r="K28" s="1">
        <v>-7.79521363547378E-2</v>
      </c>
      <c r="L28" s="1">
        <v>-161.28211903572</v>
      </c>
      <c r="M28" s="1">
        <f t="shared" si="4"/>
        <v>5.2523464123803043E-2</v>
      </c>
      <c r="N28" s="1">
        <f t="shared" si="5"/>
        <v>1.0727671300319859</v>
      </c>
    </row>
    <row r="29" spans="1:24" x14ac:dyDescent="0.2">
      <c r="A29">
        <v>5</v>
      </c>
      <c r="B29" s="9">
        <v>1154.9410388469601</v>
      </c>
      <c r="C29" s="9">
        <v>349.23855876922602</v>
      </c>
      <c r="D29" s="31">
        <v>345.82707595825099</v>
      </c>
      <c r="E29" s="29">
        <v>33</v>
      </c>
      <c r="F29" s="32">
        <v>0.97683452336899601</v>
      </c>
      <c r="G29" s="10">
        <v>1244.8100211620299</v>
      </c>
      <c r="H29" s="10">
        <v>348.93705475330302</v>
      </c>
      <c r="I29" s="20">
        <v>346.02820312976797</v>
      </c>
      <c r="J29" s="21">
        <v>0.83363219351745099</v>
      </c>
      <c r="K29" s="11">
        <v>5.7639957916941202E-2</v>
      </c>
      <c r="L29" s="11">
        <v>89.868982315063406</v>
      </c>
      <c r="M29" s="1">
        <f t="shared" si="4"/>
        <v>-0.14320232985154502</v>
      </c>
      <c r="N29" s="1">
        <f t="shared" si="5"/>
        <v>0.85340164948546682</v>
      </c>
    </row>
    <row r="30" spans="1:24" x14ac:dyDescent="0.2">
      <c r="A30">
        <v>6</v>
      </c>
      <c r="B30" s="9">
        <v>571.90742969512905</v>
      </c>
      <c r="C30" s="9">
        <v>264.523755431175</v>
      </c>
      <c r="D30" s="31">
        <v>262.17089813947598</v>
      </c>
      <c r="E30" s="29">
        <v>36</v>
      </c>
      <c r="F30" s="32">
        <v>0.88946918505042505</v>
      </c>
      <c r="G30" s="10">
        <v>327.261358261108</v>
      </c>
      <c r="H30" s="10">
        <v>264.504433095455</v>
      </c>
      <c r="I30" s="20">
        <v>261.87719267606701</v>
      </c>
      <c r="J30" s="21">
        <v>0.99326895532207904</v>
      </c>
      <c r="K30" s="1">
        <v>-0.111039902043316</v>
      </c>
      <c r="L30" s="1">
        <v>-244.646071434021</v>
      </c>
      <c r="M30" s="1">
        <f t="shared" si="4"/>
        <v>0.10379977027165399</v>
      </c>
      <c r="N30" s="1">
        <f t="shared" si="5"/>
        <v>1.1166985568654293</v>
      </c>
    </row>
    <row r="31" spans="1:24" x14ac:dyDescent="0.2">
      <c r="A31">
        <v>7</v>
      </c>
      <c r="B31" s="9">
        <v>1230.8288881778701</v>
      </c>
      <c r="C31" s="9">
        <v>216.07596898078901</v>
      </c>
      <c r="D31" s="31">
        <v>214.00918573141001</v>
      </c>
      <c r="E31" s="29">
        <v>48</v>
      </c>
      <c r="F31" s="30">
        <v>0.95650768529563501</v>
      </c>
      <c r="G31" s="10">
        <v>1328.91107416152</v>
      </c>
      <c r="H31" s="10">
        <v>216.05821242928499</v>
      </c>
      <c r="I31" s="20">
        <v>213.908880889415</v>
      </c>
      <c r="J31" s="21">
        <v>0.994792799451095</v>
      </c>
      <c r="K31" s="1">
        <v>-4.64249152426972E-2</v>
      </c>
      <c r="L31" s="11">
        <v>98.082185983657794</v>
      </c>
      <c r="M31" s="1">
        <f t="shared" si="4"/>
        <v>3.8285114155459987E-2</v>
      </c>
      <c r="N31" s="1">
        <f t="shared" si="5"/>
        <v>1.0400259347039402</v>
      </c>
    </row>
    <row r="32" spans="1:24" x14ac:dyDescent="0.2">
      <c r="K32" s="12">
        <f>AVERAGE(K24:K31)</f>
        <v>-7.1284166205193853E-3</v>
      </c>
      <c r="L32" s="12"/>
      <c r="M32" s="12">
        <f>AVERAGE(M24:M31)</f>
        <v>-2.5922384226682624E-2</v>
      </c>
    </row>
    <row r="33" spans="11:13" x14ac:dyDescent="0.2">
      <c r="K33" s="17">
        <f>AVERAGE(K3:K10,K13:K21,K24:K31)</f>
        <v>2.4933851014501397E-2</v>
      </c>
      <c r="M33" s="17">
        <f>AVERAGE(M3:M10,M13:M21,M24:M31)</f>
        <v>-5.1454979747493412E-2</v>
      </c>
    </row>
  </sheetData>
  <mergeCells count="2">
    <mergeCell ref="B1:F1"/>
    <mergeCell ref="G1:J1"/>
  </mergeCells>
  <pageMargins left="0.75" right="0.75" top="1" bottom="1" header="0.5" footer="0.5"/>
  <ignoredErrors>
    <ignoredError sqref="N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N30_Strat4_Compare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Nguyen</dc:creator>
  <cp:lastModifiedBy>Di Nguyen</cp:lastModifiedBy>
  <dcterms:created xsi:type="dcterms:W3CDTF">2025-04-10T11:21:43Z</dcterms:created>
  <dcterms:modified xsi:type="dcterms:W3CDTF">2025-04-12T22:04:29Z</dcterms:modified>
</cp:coreProperties>
</file>